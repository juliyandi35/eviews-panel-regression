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C:\Users\JULI YANDI RAHMAN\Downloads\Kerjaan\Project Eviews\"/>
    </mc:Choice>
  </mc:AlternateContent>
  <xr:revisionPtr revIDLastSave="0" documentId="13_ncr:1_{5DD55604-140F-412F-99DD-45EE1A47C402}" xr6:coauthVersionLast="47" xr6:coauthVersionMax="47" xr10:uidLastSave="{00000000-0000-0000-0000-000000000000}"/>
  <bookViews>
    <workbookView minimized="1" xWindow="760" yWindow="760" windowWidth="14400" windowHeight="7270" firstSheet="8" activeTab="8" xr2:uid="{00000000-000D-0000-FFFF-FFFF00000000}"/>
  </bookViews>
  <sheets>
    <sheet name="Data" sheetId="1" r:id="rId1"/>
    <sheet name="X1" sheetId="2" r:id="rId2"/>
    <sheet name="X2" sheetId="3" r:id="rId3"/>
    <sheet name="X3" sheetId="4" r:id="rId4"/>
    <sheet name="X4" sheetId="5" r:id="rId5"/>
    <sheet name="Variabel Y" sheetId="6" r:id="rId6"/>
    <sheet name="Moderasi" sheetId="7" r:id="rId7"/>
    <sheet name="Sheet1" sheetId="8" r:id="rId8"/>
    <sheet name="Normalized" sheetId="9" r:id="rId9"/>
  </sheets>
  <calcPr calcId="191029"/>
</workbook>
</file>

<file path=xl/calcChain.xml><?xml version="1.0" encoding="utf-8"?>
<calcChain xmlns="http://schemas.openxmlformats.org/spreadsheetml/2006/main">
  <c r="O6" i="9" l="1"/>
  <c r="O5" i="9"/>
  <c r="C3" i="9" l="1"/>
  <c r="D3" i="9"/>
  <c r="E3" i="9"/>
  <c r="F3" i="9"/>
  <c r="G3" i="9"/>
  <c r="H3" i="9"/>
  <c r="I3" i="9"/>
  <c r="J3" i="9"/>
  <c r="K3" i="9"/>
  <c r="L3" i="9"/>
  <c r="C4" i="9"/>
  <c r="D4" i="9"/>
  <c r="E4" i="9"/>
  <c r="F4" i="9"/>
  <c r="G4" i="9"/>
  <c r="H4" i="9"/>
  <c r="I4" i="9"/>
  <c r="J4" i="9"/>
  <c r="K4" i="9"/>
  <c r="L4" i="9"/>
  <c r="C5" i="9"/>
  <c r="D5" i="9"/>
  <c r="E5" i="9"/>
  <c r="F5" i="9"/>
  <c r="G5" i="9"/>
  <c r="H5" i="9"/>
  <c r="I5" i="9"/>
  <c r="J5" i="9"/>
  <c r="K5" i="9"/>
  <c r="L5" i="9"/>
  <c r="C6" i="9"/>
  <c r="D6" i="9"/>
  <c r="E6" i="9"/>
  <c r="F6" i="9"/>
  <c r="G6" i="9"/>
  <c r="H6" i="9"/>
  <c r="I6" i="9"/>
  <c r="J6" i="9"/>
  <c r="K6" i="9"/>
  <c r="L6" i="9"/>
  <c r="C7" i="9"/>
  <c r="D7" i="9"/>
  <c r="E7" i="9"/>
  <c r="F7" i="9"/>
  <c r="G7" i="9"/>
  <c r="H7" i="9"/>
  <c r="I7" i="9"/>
  <c r="J7" i="9"/>
  <c r="K7" i="9"/>
  <c r="L7" i="9"/>
  <c r="C8" i="9"/>
  <c r="D8" i="9"/>
  <c r="E8" i="9"/>
  <c r="F8" i="9"/>
  <c r="G8" i="9"/>
  <c r="H8" i="9"/>
  <c r="I8" i="9"/>
  <c r="J8" i="9"/>
  <c r="K8" i="9"/>
  <c r="L8" i="9"/>
  <c r="C9" i="9"/>
  <c r="D9" i="9"/>
  <c r="E9" i="9"/>
  <c r="F9" i="9"/>
  <c r="G9" i="9"/>
  <c r="H9" i="9"/>
  <c r="I9" i="9"/>
  <c r="J9" i="9"/>
  <c r="K9" i="9"/>
  <c r="L9" i="9"/>
  <c r="C10" i="9"/>
  <c r="D10" i="9"/>
  <c r="E10" i="9"/>
  <c r="F10" i="9"/>
  <c r="G10" i="9"/>
  <c r="H10" i="9"/>
  <c r="I10" i="9"/>
  <c r="J10" i="9"/>
  <c r="K10" i="9"/>
  <c r="L10" i="9"/>
  <c r="C11" i="9"/>
  <c r="D11" i="9"/>
  <c r="E11" i="9"/>
  <c r="F11" i="9"/>
  <c r="G11" i="9"/>
  <c r="H11" i="9"/>
  <c r="I11" i="9"/>
  <c r="J11" i="9"/>
  <c r="K11" i="9"/>
  <c r="L11" i="9"/>
  <c r="C12" i="9"/>
  <c r="D12" i="9"/>
  <c r="E12" i="9"/>
  <c r="F12" i="9"/>
  <c r="G12" i="9"/>
  <c r="H12" i="9"/>
  <c r="I12" i="9"/>
  <c r="J12" i="9"/>
  <c r="K12" i="9"/>
  <c r="L12" i="9"/>
  <c r="C13" i="9"/>
  <c r="D13" i="9"/>
  <c r="E13" i="9"/>
  <c r="F13" i="9"/>
  <c r="G13" i="9"/>
  <c r="H13" i="9"/>
  <c r="I13" i="9"/>
  <c r="J13" i="9"/>
  <c r="K13" i="9"/>
  <c r="L13" i="9"/>
  <c r="C14" i="9"/>
  <c r="D14" i="9"/>
  <c r="E14" i="9"/>
  <c r="F14" i="9"/>
  <c r="G14" i="9"/>
  <c r="H14" i="9"/>
  <c r="I14" i="9"/>
  <c r="J14" i="9"/>
  <c r="K14" i="9"/>
  <c r="L14" i="9"/>
  <c r="C15" i="9"/>
  <c r="D15" i="9"/>
  <c r="E15" i="9"/>
  <c r="F15" i="9"/>
  <c r="G15" i="9"/>
  <c r="H15" i="9"/>
  <c r="I15" i="9"/>
  <c r="J15" i="9"/>
  <c r="K15" i="9"/>
  <c r="L15" i="9"/>
  <c r="C16" i="9"/>
  <c r="D16" i="9"/>
  <c r="E16" i="9"/>
  <c r="F16" i="9"/>
  <c r="G16" i="9"/>
  <c r="H16" i="9"/>
  <c r="I16" i="9"/>
  <c r="J16" i="9"/>
  <c r="K16" i="9"/>
  <c r="L16" i="9"/>
  <c r="C17" i="9"/>
  <c r="D17" i="9"/>
  <c r="E17" i="9"/>
  <c r="F17" i="9"/>
  <c r="G17" i="9"/>
  <c r="H17" i="9"/>
  <c r="I17" i="9"/>
  <c r="J17" i="9"/>
  <c r="K17" i="9"/>
  <c r="L17" i="9"/>
  <c r="C18" i="9"/>
  <c r="D18" i="9"/>
  <c r="E18" i="9"/>
  <c r="F18" i="9"/>
  <c r="G18" i="9"/>
  <c r="H18" i="9"/>
  <c r="I18" i="9"/>
  <c r="J18" i="9"/>
  <c r="K18" i="9"/>
  <c r="L18" i="9"/>
  <c r="C19" i="9"/>
  <c r="D19" i="9"/>
  <c r="E19" i="9"/>
  <c r="F19" i="9"/>
  <c r="G19" i="9"/>
  <c r="H19" i="9"/>
  <c r="I19" i="9"/>
  <c r="J19" i="9"/>
  <c r="K19" i="9"/>
  <c r="L19" i="9"/>
  <c r="C20" i="9"/>
  <c r="D20" i="9"/>
  <c r="E20" i="9"/>
  <c r="F20" i="9"/>
  <c r="G20" i="9"/>
  <c r="H20" i="9"/>
  <c r="I20" i="9"/>
  <c r="J20" i="9"/>
  <c r="K20" i="9"/>
  <c r="L20" i="9"/>
  <c r="C21" i="9"/>
  <c r="D21" i="9"/>
  <c r="E21" i="9"/>
  <c r="F21" i="9"/>
  <c r="G21" i="9"/>
  <c r="H21" i="9"/>
  <c r="I21" i="9"/>
  <c r="J21" i="9"/>
  <c r="K21" i="9"/>
  <c r="L21" i="9"/>
  <c r="C22" i="9"/>
  <c r="D22" i="9"/>
  <c r="E22" i="9"/>
  <c r="F22" i="9"/>
  <c r="G22" i="9"/>
  <c r="H22" i="9"/>
  <c r="I22" i="9"/>
  <c r="J22" i="9"/>
  <c r="K22" i="9"/>
  <c r="L22" i="9"/>
  <c r="C23" i="9"/>
  <c r="D23" i="9"/>
  <c r="E23" i="9"/>
  <c r="F23" i="9"/>
  <c r="G23" i="9"/>
  <c r="H23" i="9"/>
  <c r="I23" i="9"/>
  <c r="J23" i="9"/>
  <c r="K23" i="9"/>
  <c r="L23" i="9"/>
  <c r="C24" i="9"/>
  <c r="D24" i="9"/>
  <c r="E24" i="9"/>
  <c r="F24" i="9"/>
  <c r="G24" i="9"/>
  <c r="H24" i="9"/>
  <c r="I24" i="9"/>
  <c r="J24" i="9"/>
  <c r="K24" i="9"/>
  <c r="L24" i="9"/>
  <c r="C25" i="9"/>
  <c r="D25" i="9"/>
  <c r="E25" i="9"/>
  <c r="F25" i="9"/>
  <c r="G25" i="9"/>
  <c r="H25" i="9"/>
  <c r="I25" i="9"/>
  <c r="J25" i="9"/>
  <c r="K25" i="9"/>
  <c r="L25" i="9"/>
  <c r="C26" i="9"/>
  <c r="D26" i="9"/>
  <c r="E26" i="9"/>
  <c r="F26" i="9"/>
  <c r="G26" i="9"/>
  <c r="H26" i="9"/>
  <c r="I26" i="9"/>
  <c r="J26" i="9"/>
  <c r="K26" i="9"/>
  <c r="L26" i="9"/>
  <c r="C27" i="9"/>
  <c r="D27" i="9"/>
  <c r="E27" i="9"/>
  <c r="F27" i="9"/>
  <c r="G27" i="9"/>
  <c r="H27" i="9"/>
  <c r="I27" i="9"/>
  <c r="J27" i="9"/>
  <c r="K27" i="9"/>
  <c r="L27" i="9"/>
  <c r="C28" i="9"/>
  <c r="D28" i="9"/>
  <c r="E28" i="9"/>
  <c r="F28" i="9"/>
  <c r="G28" i="9"/>
  <c r="H28" i="9"/>
  <c r="I28" i="9"/>
  <c r="J28" i="9"/>
  <c r="K28" i="9"/>
  <c r="L28" i="9"/>
  <c r="C29" i="9"/>
  <c r="D29" i="9"/>
  <c r="E29" i="9"/>
  <c r="F29" i="9"/>
  <c r="G29" i="9"/>
  <c r="H29" i="9"/>
  <c r="I29" i="9"/>
  <c r="J29" i="9"/>
  <c r="K29" i="9"/>
  <c r="L29" i="9"/>
  <c r="C30" i="9"/>
  <c r="D30" i="9"/>
  <c r="E30" i="9"/>
  <c r="F30" i="9"/>
  <c r="G30" i="9"/>
  <c r="H30" i="9"/>
  <c r="I30" i="9"/>
  <c r="J30" i="9"/>
  <c r="K30" i="9"/>
  <c r="L30" i="9"/>
  <c r="C31" i="9"/>
  <c r="D31" i="9"/>
  <c r="E31" i="9"/>
  <c r="F31" i="9"/>
  <c r="G31" i="9"/>
  <c r="H31" i="9"/>
  <c r="I31" i="9"/>
  <c r="J31" i="9"/>
  <c r="K31" i="9"/>
  <c r="L31" i="9"/>
  <c r="C32" i="9"/>
  <c r="D32" i="9"/>
  <c r="E32" i="9"/>
  <c r="F32" i="9"/>
  <c r="G32" i="9"/>
  <c r="H32" i="9"/>
  <c r="I32" i="9"/>
  <c r="J32" i="9"/>
  <c r="K32" i="9"/>
  <c r="L32" i="9"/>
  <c r="C33" i="9"/>
  <c r="D33" i="9"/>
  <c r="E33" i="9"/>
  <c r="F33" i="9"/>
  <c r="G33" i="9"/>
  <c r="H33" i="9"/>
  <c r="I33" i="9"/>
  <c r="J33" i="9"/>
  <c r="K33" i="9"/>
  <c r="L33" i="9"/>
  <c r="C34" i="9"/>
  <c r="D34" i="9"/>
  <c r="E34" i="9"/>
  <c r="F34" i="9"/>
  <c r="G34" i="9"/>
  <c r="H34" i="9"/>
  <c r="I34" i="9"/>
  <c r="J34" i="9"/>
  <c r="K34" i="9"/>
  <c r="L34" i="9"/>
  <c r="C35" i="9"/>
  <c r="D35" i="9"/>
  <c r="E35" i="9"/>
  <c r="F35" i="9"/>
  <c r="G35" i="9"/>
  <c r="H35" i="9"/>
  <c r="I35" i="9"/>
  <c r="J35" i="9"/>
  <c r="K35" i="9"/>
  <c r="L35" i="9"/>
  <c r="C36" i="9"/>
  <c r="D36" i="9"/>
  <c r="E36" i="9"/>
  <c r="F36" i="9"/>
  <c r="G36" i="9"/>
  <c r="H36" i="9"/>
  <c r="I36" i="9"/>
  <c r="J36" i="9"/>
  <c r="K36" i="9"/>
  <c r="L36" i="9"/>
  <c r="C37" i="9"/>
  <c r="D37" i="9"/>
  <c r="E37" i="9"/>
  <c r="F37" i="9"/>
  <c r="G37" i="9"/>
  <c r="H37" i="9"/>
  <c r="I37" i="9"/>
  <c r="J37" i="9"/>
  <c r="K37" i="9"/>
  <c r="L37" i="9"/>
  <c r="C38" i="9"/>
  <c r="D38" i="9"/>
  <c r="E38" i="9"/>
  <c r="F38" i="9"/>
  <c r="G38" i="9"/>
  <c r="H38" i="9"/>
  <c r="I38" i="9"/>
  <c r="J38" i="9"/>
  <c r="K38" i="9"/>
  <c r="L38" i="9"/>
  <c r="C39" i="9"/>
  <c r="D39" i="9"/>
  <c r="E39" i="9"/>
  <c r="F39" i="9"/>
  <c r="G39" i="9"/>
  <c r="H39" i="9"/>
  <c r="I39" i="9"/>
  <c r="J39" i="9"/>
  <c r="K39" i="9"/>
  <c r="L39" i="9"/>
  <c r="C40" i="9"/>
  <c r="D40" i="9"/>
  <c r="E40" i="9"/>
  <c r="F40" i="9"/>
  <c r="G40" i="9"/>
  <c r="H40" i="9"/>
  <c r="I40" i="9"/>
  <c r="J40" i="9"/>
  <c r="K40" i="9"/>
  <c r="L40" i="9"/>
  <c r="C41" i="9"/>
  <c r="D41" i="9"/>
  <c r="E41" i="9"/>
  <c r="F41" i="9"/>
  <c r="G41" i="9"/>
  <c r="H41" i="9"/>
  <c r="I41" i="9"/>
  <c r="J41" i="9"/>
  <c r="K41" i="9"/>
  <c r="L41" i="9"/>
  <c r="C42" i="9"/>
  <c r="D42" i="9"/>
  <c r="E42" i="9"/>
  <c r="F42" i="9"/>
  <c r="G42" i="9"/>
  <c r="H42" i="9"/>
  <c r="I42" i="9"/>
  <c r="J42" i="9"/>
  <c r="K42" i="9"/>
  <c r="L42" i="9"/>
  <c r="C43" i="9"/>
  <c r="D43" i="9"/>
  <c r="E43" i="9"/>
  <c r="F43" i="9"/>
  <c r="G43" i="9"/>
  <c r="H43" i="9"/>
  <c r="I43" i="9"/>
  <c r="J43" i="9"/>
  <c r="K43" i="9"/>
  <c r="L43" i="9"/>
  <c r="C44" i="9"/>
  <c r="D44" i="9"/>
  <c r="E44" i="9"/>
  <c r="F44" i="9"/>
  <c r="G44" i="9"/>
  <c r="H44" i="9"/>
  <c r="I44" i="9"/>
  <c r="J44" i="9"/>
  <c r="K44" i="9"/>
  <c r="L44" i="9"/>
  <c r="C45" i="9"/>
  <c r="D45" i="9"/>
  <c r="E45" i="9"/>
  <c r="F45" i="9"/>
  <c r="G45" i="9"/>
  <c r="H45" i="9"/>
  <c r="I45" i="9"/>
  <c r="J45" i="9"/>
  <c r="K45" i="9"/>
  <c r="L45" i="9"/>
  <c r="C46" i="9"/>
  <c r="D46" i="9"/>
  <c r="E46" i="9"/>
  <c r="F46" i="9"/>
  <c r="G46" i="9"/>
  <c r="H46" i="9"/>
  <c r="I46" i="9"/>
  <c r="J46" i="9"/>
  <c r="K46" i="9"/>
  <c r="L46" i="9"/>
  <c r="C47" i="9"/>
  <c r="D47" i="9"/>
  <c r="E47" i="9"/>
  <c r="F47" i="9"/>
  <c r="G47" i="9"/>
  <c r="H47" i="9"/>
  <c r="I47" i="9"/>
  <c r="J47" i="9"/>
  <c r="K47" i="9"/>
  <c r="L47" i="9"/>
  <c r="C48" i="9"/>
  <c r="D48" i="9"/>
  <c r="E48" i="9"/>
  <c r="F48" i="9"/>
  <c r="G48" i="9"/>
  <c r="H48" i="9"/>
  <c r="I48" i="9"/>
  <c r="J48" i="9"/>
  <c r="K48" i="9"/>
  <c r="L48" i="9"/>
  <c r="C49" i="9"/>
  <c r="D49" i="9"/>
  <c r="E49" i="9"/>
  <c r="F49" i="9"/>
  <c r="G49" i="9"/>
  <c r="H49" i="9"/>
  <c r="I49" i="9"/>
  <c r="J49" i="9"/>
  <c r="K49" i="9"/>
  <c r="L49" i="9"/>
  <c r="C50" i="9"/>
  <c r="D50" i="9"/>
  <c r="E50" i="9"/>
  <c r="F50" i="9"/>
  <c r="G50" i="9"/>
  <c r="H50" i="9"/>
  <c r="I50" i="9"/>
  <c r="J50" i="9"/>
  <c r="K50" i="9"/>
  <c r="L50" i="9"/>
  <c r="C51" i="9"/>
  <c r="D51" i="9"/>
  <c r="E51" i="9"/>
  <c r="F51" i="9"/>
  <c r="G51" i="9"/>
  <c r="H51" i="9"/>
  <c r="I51" i="9"/>
  <c r="J51" i="9"/>
  <c r="K51" i="9"/>
  <c r="L51" i="9"/>
  <c r="D2" i="9"/>
  <c r="E2" i="9"/>
  <c r="F2" i="9"/>
  <c r="G2" i="9"/>
  <c r="H2" i="9"/>
  <c r="I2" i="9"/>
  <c r="J2" i="9"/>
  <c r="K2" i="9"/>
  <c r="L2" i="9"/>
  <c r="C2" i="9"/>
  <c r="F4" i="6"/>
  <c r="F4" i="7"/>
  <c r="E6" i="5"/>
  <c r="F9" i="4"/>
  <c r="F4" i="3"/>
  <c r="F4" i="2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L2" i="8"/>
  <c r="K2" i="8"/>
  <c r="J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2" i="8"/>
  <c r="E5" i="5" l="1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4" i="5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" i="4"/>
  <c r="F6" i="4"/>
  <c r="F7" i="4"/>
  <c r="F8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4" i="4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</calcChain>
</file>

<file path=xl/sharedStrings.xml><?xml version="1.0" encoding="utf-8"?>
<sst xmlns="http://schemas.openxmlformats.org/spreadsheetml/2006/main" count="247" uniqueCount="38">
  <si>
    <t>No</t>
  </si>
  <si>
    <t>Kode</t>
  </si>
  <si>
    <t>Total Ekuitas</t>
  </si>
  <si>
    <t>Tahun</t>
  </si>
  <si>
    <t>Laba Bersih</t>
  </si>
  <si>
    <t>Total Aset</t>
  </si>
  <si>
    <t>ICBP</t>
  </si>
  <si>
    <t>INDF</t>
  </si>
  <si>
    <t>MYOR</t>
  </si>
  <si>
    <t>GOOD</t>
  </si>
  <si>
    <t>ROTI</t>
  </si>
  <si>
    <t>DLTA</t>
  </si>
  <si>
    <t>SKLT</t>
  </si>
  <si>
    <t>CEKA</t>
  </si>
  <si>
    <t>BUDI</t>
  </si>
  <si>
    <t>HOKI</t>
  </si>
  <si>
    <t>Total Aset n-1</t>
  </si>
  <si>
    <t>Total Liabilitas</t>
  </si>
  <si>
    <t>Deviden</t>
  </si>
  <si>
    <t xml:space="preserve">Data </t>
  </si>
  <si>
    <t>Current Asset (Aset Lancar)</t>
  </si>
  <si>
    <t>Current Liabilities (Hutang Lancar)</t>
  </si>
  <si>
    <t>Struktur Modal (X1)</t>
  </si>
  <si>
    <t>Kebijakan Deviden (X2)</t>
  </si>
  <si>
    <t>Likuiditas (X3)</t>
  </si>
  <si>
    <t>Ukuran Perusahaan (X4)</t>
  </si>
  <si>
    <t xml:space="preserve">Keputusan Investasi (Y) </t>
  </si>
  <si>
    <t xml:space="preserve">Kinerja Keuangan (M) </t>
  </si>
  <si>
    <t>SM</t>
  </si>
  <si>
    <t>KD</t>
  </si>
  <si>
    <t>Lik</t>
  </si>
  <si>
    <t>UP</t>
  </si>
  <si>
    <t>KK</t>
  </si>
  <si>
    <t>KI</t>
  </si>
  <si>
    <t>SM_KK</t>
  </si>
  <si>
    <t>KD_KK</t>
  </si>
  <si>
    <t>Lik_KK</t>
  </si>
  <si>
    <t>UP_KK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</si>
</sst>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3" fontId="4" fillId="0" borderId="1" xfId="0" applyNumberFormat="1" applyFont="1" applyBorder="1"/>
    <xf numFmtId="3" fontId="4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/>
    </xf>
    <xf numFmtId="3" fontId="6" fillId="0" borderId="1" xfId="1" applyNumberFormat="1" applyFont="1" applyBorder="1" applyAlignment="1">
      <alignment horizontal="right"/>
    </xf>
    <xf numFmtId="0" fontId="4" fillId="0" borderId="0" xfId="0" applyFont="1"/>
    <xf numFmtId="0" fontId="5" fillId="0" borderId="1" xfId="0" applyFont="1" applyBorder="1"/>
    <xf numFmtId="0" fontId="4" fillId="0" borderId="1" xfId="0" applyFont="1" applyBorder="1"/>
    <xf numFmtId="0" fontId="5" fillId="0" borderId="0" xfId="0" applyFont="1"/>
    <xf numFmtId="0" fontId="5" fillId="0" borderId="5" xfId="0" applyFont="1" applyBorder="1" applyAlignment="1">
      <alignment horizontal="center"/>
    </xf>
    <xf numFmtId="3" fontId="4" fillId="0" borderId="5" xfId="0" applyNumberFormat="1" applyFont="1" applyBorder="1"/>
    <xf numFmtId="3" fontId="4" fillId="0" borderId="5" xfId="0" applyNumberFormat="1" applyFont="1" applyBorder="1" applyAlignment="1">
      <alignment horizontal="right"/>
    </xf>
    <xf numFmtId="3" fontId="6" fillId="0" borderId="5" xfId="1" applyNumberFormat="1" applyFont="1" applyBorder="1" applyAlignment="1">
      <alignment horizontal="right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opLeftCell="A3" zoomScale="90" zoomScaleNormal="90" workbookViewId="0">
      <selection activeCell="D24" sqref="D24"/>
    </sheetView>
  </sheetViews>
  <sheetFormatPr defaultColWidth="9.1796875" defaultRowHeight="13" x14ac:dyDescent="0.3"/>
  <cols>
    <col min="1" max="1" width="5.1796875" style="2" customWidth="1"/>
    <col min="2" max="2" width="9.1796875" style="2" customWidth="1"/>
    <col min="3" max="3" width="9.1796875" style="3"/>
    <col min="4" max="4" width="17.54296875" style="2" customWidth="1"/>
    <col min="5" max="5" width="17.54296875" style="2" bestFit="1" customWidth="1"/>
    <col min="6" max="6" width="28.453125" style="2" bestFit="1" customWidth="1"/>
    <col min="7" max="7" width="35" style="2" bestFit="1" customWidth="1"/>
    <col min="8" max="8" width="16.453125" style="2" customWidth="1"/>
    <col min="9" max="9" width="17.54296875" style="2" bestFit="1" customWidth="1"/>
    <col min="10" max="11" width="16.453125" style="2" customWidth="1"/>
    <col min="12" max="16384" width="9.1796875" style="2"/>
  </cols>
  <sheetData>
    <row r="1" spans="1:11" x14ac:dyDescent="0.3">
      <c r="A1" s="1" t="s">
        <v>19</v>
      </c>
    </row>
    <row r="3" spans="1:11" ht="14" x14ac:dyDescent="0.3">
      <c r="A3" s="6" t="s">
        <v>0</v>
      </c>
      <c r="B3" s="6" t="s">
        <v>1</v>
      </c>
      <c r="C3" s="6" t="s">
        <v>3</v>
      </c>
      <c r="D3" s="7" t="s">
        <v>5</v>
      </c>
      <c r="E3" s="7" t="s">
        <v>16</v>
      </c>
      <c r="F3" s="7" t="s">
        <v>20</v>
      </c>
      <c r="G3" s="7" t="s">
        <v>21</v>
      </c>
      <c r="H3" s="7" t="s">
        <v>17</v>
      </c>
      <c r="I3" s="7" t="s">
        <v>2</v>
      </c>
      <c r="J3" s="7" t="s">
        <v>4</v>
      </c>
      <c r="K3" s="7" t="s">
        <v>18</v>
      </c>
    </row>
    <row r="4" spans="1:11" ht="14" x14ac:dyDescent="0.3">
      <c r="A4" s="24">
        <v>1</v>
      </c>
      <c r="B4" s="24" t="s">
        <v>6</v>
      </c>
      <c r="C4" s="8">
        <v>2018</v>
      </c>
      <c r="D4" s="4">
        <v>34367153</v>
      </c>
      <c r="E4" s="4">
        <v>31619514</v>
      </c>
      <c r="F4" s="4">
        <v>14121568</v>
      </c>
      <c r="G4" s="4">
        <v>7235398</v>
      </c>
      <c r="H4" s="4">
        <v>11660003</v>
      </c>
      <c r="I4" s="4">
        <v>22707150</v>
      </c>
      <c r="J4" s="4">
        <v>4658781</v>
      </c>
      <c r="K4" s="4">
        <v>2565620</v>
      </c>
    </row>
    <row r="5" spans="1:11" ht="15.75" customHeight="1" x14ac:dyDescent="0.3">
      <c r="A5" s="24"/>
      <c r="B5" s="24"/>
      <c r="C5" s="8">
        <v>2019</v>
      </c>
      <c r="D5" s="9">
        <v>38709314</v>
      </c>
      <c r="E5" s="4">
        <v>34367153</v>
      </c>
      <c r="F5" s="9">
        <v>16624925</v>
      </c>
      <c r="G5" s="9">
        <v>6556359</v>
      </c>
      <c r="H5" s="9">
        <v>12038210</v>
      </c>
      <c r="I5" s="9">
        <v>26671104</v>
      </c>
      <c r="J5" s="9">
        <v>5360029</v>
      </c>
      <c r="K5" s="9">
        <v>1597681</v>
      </c>
    </row>
    <row r="6" spans="1:11" ht="15.75" customHeight="1" x14ac:dyDescent="0.3">
      <c r="A6" s="24"/>
      <c r="B6" s="24"/>
      <c r="C6" s="8">
        <v>2020</v>
      </c>
      <c r="D6" s="9">
        <v>103588325</v>
      </c>
      <c r="E6" s="9">
        <v>38709314</v>
      </c>
      <c r="F6" s="9">
        <v>20716223</v>
      </c>
      <c r="G6" s="9">
        <v>9176164</v>
      </c>
      <c r="H6" s="9">
        <v>53270272</v>
      </c>
      <c r="I6" s="9">
        <v>50318053</v>
      </c>
      <c r="J6" s="9">
        <v>7418574</v>
      </c>
      <c r="K6" s="9">
        <v>2507310</v>
      </c>
    </row>
    <row r="7" spans="1:11" ht="15.75" customHeight="1" x14ac:dyDescent="0.3">
      <c r="A7" s="24"/>
      <c r="B7" s="24"/>
      <c r="C7" s="8">
        <v>2021</v>
      </c>
      <c r="D7" s="9">
        <v>118015311</v>
      </c>
      <c r="E7" s="9">
        <v>103588325</v>
      </c>
      <c r="F7" s="9">
        <v>33997637</v>
      </c>
      <c r="G7" s="9">
        <v>18896133</v>
      </c>
      <c r="H7" s="9">
        <v>63074704</v>
      </c>
      <c r="I7" s="9">
        <v>54940607</v>
      </c>
      <c r="J7" s="9">
        <v>7911943</v>
      </c>
      <c r="K7" s="9">
        <v>2507310</v>
      </c>
    </row>
    <row r="8" spans="1:11" ht="15.75" customHeight="1" x14ac:dyDescent="0.3">
      <c r="A8" s="24"/>
      <c r="B8" s="24"/>
      <c r="C8" s="8">
        <v>2022</v>
      </c>
      <c r="D8" s="9">
        <v>115305536</v>
      </c>
      <c r="E8" s="9">
        <v>118015311</v>
      </c>
      <c r="F8" s="9">
        <v>31070365</v>
      </c>
      <c r="G8" s="9">
        <v>10033935</v>
      </c>
      <c r="H8" s="9">
        <v>57832529</v>
      </c>
      <c r="I8" s="9">
        <v>57473007</v>
      </c>
      <c r="J8" s="9">
        <v>5722194</v>
      </c>
      <c r="K8" s="9">
        <v>2507310</v>
      </c>
    </row>
    <row r="9" spans="1:11" ht="15.75" customHeight="1" x14ac:dyDescent="0.3">
      <c r="A9" s="24">
        <v>2</v>
      </c>
      <c r="B9" s="24" t="s">
        <v>7</v>
      </c>
      <c r="C9" s="8">
        <v>2018</v>
      </c>
      <c r="D9" s="4">
        <v>96537796</v>
      </c>
      <c r="E9" s="9">
        <v>88400877</v>
      </c>
      <c r="F9" s="4">
        <v>33272618</v>
      </c>
      <c r="G9" s="9">
        <v>31204102</v>
      </c>
      <c r="H9" s="4">
        <v>46620996</v>
      </c>
      <c r="I9" s="9">
        <v>49916800</v>
      </c>
      <c r="J9" s="4">
        <v>4961851</v>
      </c>
      <c r="K9" s="9">
        <v>2651689</v>
      </c>
    </row>
    <row r="10" spans="1:11" ht="15.75" customHeight="1" x14ac:dyDescent="0.3">
      <c r="A10" s="24"/>
      <c r="B10" s="24"/>
      <c r="C10" s="8">
        <v>2019</v>
      </c>
      <c r="D10" s="9">
        <v>96198559</v>
      </c>
      <c r="E10" s="4">
        <v>96537796</v>
      </c>
      <c r="F10" s="9">
        <v>31403445</v>
      </c>
      <c r="G10" s="9">
        <v>24686862</v>
      </c>
      <c r="H10" s="9">
        <v>41996071</v>
      </c>
      <c r="I10" s="9">
        <v>54202488</v>
      </c>
      <c r="J10" s="9">
        <v>5902729</v>
      </c>
      <c r="K10" s="9">
        <v>1501453</v>
      </c>
    </row>
    <row r="11" spans="1:11" ht="15.75" customHeight="1" x14ac:dyDescent="0.3">
      <c r="A11" s="24"/>
      <c r="B11" s="24"/>
      <c r="C11" s="8">
        <v>2020</v>
      </c>
      <c r="D11" s="9">
        <v>163136516</v>
      </c>
      <c r="E11" s="9">
        <v>96198559</v>
      </c>
      <c r="F11" s="9">
        <v>38418238</v>
      </c>
      <c r="G11" s="9">
        <v>27975875</v>
      </c>
      <c r="H11" s="9">
        <v>83998472</v>
      </c>
      <c r="I11" s="9">
        <v>79138044</v>
      </c>
      <c r="J11" s="9">
        <v>8752066</v>
      </c>
      <c r="K11" s="9">
        <v>2440959</v>
      </c>
    </row>
    <row r="12" spans="1:11" ht="15.75" customHeight="1" x14ac:dyDescent="0.3">
      <c r="A12" s="24"/>
      <c r="B12" s="24"/>
      <c r="C12" s="8">
        <v>2021</v>
      </c>
      <c r="D12" s="9">
        <v>179271840</v>
      </c>
      <c r="E12" s="9">
        <v>163136516</v>
      </c>
      <c r="F12" s="9">
        <v>54183399</v>
      </c>
      <c r="G12" s="9">
        <v>40403404</v>
      </c>
      <c r="H12" s="9">
        <v>92285331</v>
      </c>
      <c r="I12" s="9">
        <v>86986509</v>
      </c>
      <c r="J12" s="9">
        <v>11229695</v>
      </c>
      <c r="K12" s="9">
        <v>2440959</v>
      </c>
    </row>
    <row r="13" spans="1:11" ht="15.75" customHeight="1" x14ac:dyDescent="0.3">
      <c r="A13" s="24"/>
      <c r="B13" s="24"/>
      <c r="C13" s="8">
        <v>2022</v>
      </c>
      <c r="D13" s="9">
        <v>180433300</v>
      </c>
      <c r="E13" s="9">
        <v>179271840</v>
      </c>
      <c r="F13" s="9">
        <v>54876668</v>
      </c>
      <c r="G13" s="9">
        <v>30725942</v>
      </c>
      <c r="H13" s="9">
        <v>86810262</v>
      </c>
      <c r="I13" s="9">
        <v>93623038</v>
      </c>
      <c r="J13" s="9">
        <v>9192569</v>
      </c>
      <c r="K13" s="9">
        <v>2440959</v>
      </c>
    </row>
    <row r="14" spans="1:11" ht="15.75" customHeight="1" x14ac:dyDescent="0.3">
      <c r="A14" s="24">
        <v>3</v>
      </c>
      <c r="B14" s="24" t="s">
        <v>8</v>
      </c>
      <c r="C14" s="8">
        <v>2018</v>
      </c>
      <c r="D14" s="4">
        <v>17591706426634</v>
      </c>
      <c r="E14" s="4">
        <v>14915849800251</v>
      </c>
      <c r="F14" s="4">
        <v>12647858727872</v>
      </c>
      <c r="G14" s="4">
        <v>4764510387113</v>
      </c>
      <c r="H14" s="4">
        <v>9049161944940</v>
      </c>
      <c r="I14" s="4">
        <v>8542544481694</v>
      </c>
      <c r="J14" s="4">
        <v>1760434280304</v>
      </c>
      <c r="K14" s="4">
        <v>603684892575</v>
      </c>
    </row>
    <row r="15" spans="1:11" ht="15.75" customHeight="1" x14ac:dyDescent="0.3">
      <c r="A15" s="24"/>
      <c r="B15" s="24"/>
      <c r="C15" s="8">
        <v>2019</v>
      </c>
      <c r="D15" s="9">
        <v>19037918806473</v>
      </c>
      <c r="E15" s="4">
        <v>17591706426634</v>
      </c>
      <c r="F15" s="9">
        <v>12776102781513</v>
      </c>
      <c r="G15" s="9">
        <v>3714359539201</v>
      </c>
      <c r="H15" s="9">
        <v>9125978611155</v>
      </c>
      <c r="I15" s="9">
        <v>9911940195318</v>
      </c>
      <c r="J15" s="9">
        <v>2051404206764</v>
      </c>
      <c r="K15" s="9">
        <v>648402292025</v>
      </c>
    </row>
    <row r="16" spans="1:11" ht="15.75" customHeight="1" x14ac:dyDescent="0.3">
      <c r="A16" s="24"/>
      <c r="B16" s="24"/>
      <c r="C16" s="8">
        <v>2020</v>
      </c>
      <c r="D16" s="9">
        <v>19777500514550</v>
      </c>
      <c r="E16" s="9">
        <v>19037918806473</v>
      </c>
      <c r="F16" s="9">
        <v>12838729162094</v>
      </c>
      <c r="G16" s="9">
        <v>3475323711943</v>
      </c>
      <c r="H16" s="9">
        <v>8506032464592</v>
      </c>
      <c r="I16" s="9">
        <v>11271468049958</v>
      </c>
      <c r="J16" s="9">
        <v>2098168514645</v>
      </c>
      <c r="K16" s="9">
        <v>670760991750</v>
      </c>
    </row>
    <row r="17" spans="1:11" ht="15.75" customHeight="1" x14ac:dyDescent="0.3">
      <c r="A17" s="24"/>
      <c r="B17" s="24"/>
      <c r="C17" s="8">
        <v>2021</v>
      </c>
      <c r="D17" s="9">
        <v>19917653265528</v>
      </c>
      <c r="E17" s="9">
        <v>19777500514550</v>
      </c>
      <c r="F17" s="9">
        <v>12969783874643</v>
      </c>
      <c r="G17" s="9">
        <v>5570773468770</v>
      </c>
      <c r="H17" s="9">
        <v>8557621869393</v>
      </c>
      <c r="I17" s="9">
        <v>11360031396135</v>
      </c>
      <c r="J17" s="9">
        <v>1211052647953</v>
      </c>
      <c r="K17" s="9">
        <v>1162652385700</v>
      </c>
    </row>
    <row r="18" spans="1:11" ht="15.75" customHeight="1" x14ac:dyDescent="0.3">
      <c r="A18" s="24"/>
      <c r="B18" s="24"/>
      <c r="C18" s="8">
        <v>2022</v>
      </c>
      <c r="D18" s="9">
        <v>22276160695411</v>
      </c>
      <c r="E18" s="9">
        <v>19917653265528</v>
      </c>
      <c r="F18" s="9">
        <v>14772623976128</v>
      </c>
      <c r="G18" s="9">
        <v>5636627301308</v>
      </c>
      <c r="H18" s="9">
        <v>9441466604896</v>
      </c>
      <c r="I18" s="9">
        <v>12834694090515</v>
      </c>
      <c r="J18" s="9">
        <v>1970064538149</v>
      </c>
      <c r="K18" s="9">
        <v>469532694225</v>
      </c>
    </row>
    <row r="19" spans="1:11" ht="15.75" customHeight="1" x14ac:dyDescent="0.3">
      <c r="A19" s="24">
        <v>4</v>
      </c>
      <c r="B19" s="24" t="s">
        <v>9</v>
      </c>
      <c r="C19" s="8">
        <v>2018</v>
      </c>
      <c r="D19" s="9">
        <v>4212408305683</v>
      </c>
      <c r="E19" s="9">
        <v>3564218091628</v>
      </c>
      <c r="F19" s="9">
        <v>1570545769306</v>
      </c>
      <c r="G19" s="9">
        <v>1328163043500</v>
      </c>
      <c r="H19" s="9">
        <v>1722999829003</v>
      </c>
      <c r="I19" s="9">
        <v>2489408476680</v>
      </c>
      <c r="J19" s="9">
        <v>425481597110</v>
      </c>
      <c r="K19" s="9">
        <v>183082141237</v>
      </c>
    </row>
    <row r="20" spans="1:11" ht="15.75" customHeight="1" x14ac:dyDescent="0.3">
      <c r="A20" s="24"/>
      <c r="B20" s="24"/>
      <c r="C20" s="8">
        <v>2019</v>
      </c>
      <c r="D20" s="9">
        <v>5063067672414</v>
      </c>
      <c r="E20" s="9">
        <v>4212408305683</v>
      </c>
      <c r="F20" s="9">
        <v>1999886108743</v>
      </c>
      <c r="G20" s="9">
        <v>1303881731637</v>
      </c>
      <c r="H20" s="9">
        <v>2297546907499</v>
      </c>
      <c r="I20" s="9">
        <v>2765520764915</v>
      </c>
      <c r="J20" s="9">
        <v>435766359480</v>
      </c>
      <c r="K20" s="9">
        <v>132379748022</v>
      </c>
    </row>
    <row r="21" spans="1:11" ht="15.75" customHeight="1" x14ac:dyDescent="0.3">
      <c r="A21" s="24"/>
      <c r="B21" s="24"/>
      <c r="C21" s="8">
        <v>2020</v>
      </c>
      <c r="D21" s="9">
        <v>6570969641033</v>
      </c>
      <c r="E21" s="9">
        <v>5063067672414</v>
      </c>
      <c r="F21" s="9">
        <v>2314323530275</v>
      </c>
      <c r="G21" s="9">
        <v>1321529767664</v>
      </c>
      <c r="H21" s="9">
        <v>3676532851880</v>
      </c>
      <c r="I21" s="9">
        <v>2894436789153</v>
      </c>
      <c r="J21" s="9">
        <v>245103761907</v>
      </c>
      <c r="K21" s="9">
        <v>213786027325</v>
      </c>
    </row>
    <row r="22" spans="1:11" ht="15.75" customHeight="1" x14ac:dyDescent="0.3">
      <c r="A22" s="24"/>
      <c r="B22" s="24"/>
      <c r="C22" s="8">
        <v>2021</v>
      </c>
      <c r="D22" s="9">
        <v>6766602280143</v>
      </c>
      <c r="E22" s="9">
        <v>6570969641033</v>
      </c>
      <c r="F22" s="9">
        <v>2613436417820</v>
      </c>
      <c r="G22" s="9">
        <v>1771339531925</v>
      </c>
      <c r="H22" s="9">
        <v>3724365876731</v>
      </c>
      <c r="I22" s="9">
        <v>3042236403412</v>
      </c>
      <c r="J22" s="9">
        <v>492637672186</v>
      </c>
      <c r="K22" s="9">
        <v>131923972638</v>
      </c>
    </row>
    <row r="23" spans="1:11" ht="15.75" customHeight="1" x14ac:dyDescent="0.3">
      <c r="A23" s="24"/>
      <c r="B23" s="24"/>
      <c r="C23" s="8">
        <v>2022</v>
      </c>
      <c r="D23" s="9">
        <v>7327371934290</v>
      </c>
      <c r="E23" s="9">
        <v>6766602280143</v>
      </c>
      <c r="F23" s="9">
        <v>3194327374948</v>
      </c>
      <c r="G23" s="9">
        <v>1835096804319</v>
      </c>
      <c r="H23" s="9">
        <v>3975927432106</v>
      </c>
      <c r="I23" s="9">
        <v>3351444502184</v>
      </c>
      <c r="J23" s="9">
        <v>521714035585</v>
      </c>
      <c r="K23" s="9">
        <v>221508548952</v>
      </c>
    </row>
    <row r="24" spans="1:11" ht="15.75" customHeight="1" x14ac:dyDescent="0.3">
      <c r="A24" s="24">
        <v>5</v>
      </c>
      <c r="B24" s="24" t="s">
        <v>10</v>
      </c>
      <c r="C24" s="8">
        <v>2018</v>
      </c>
      <c r="D24" s="9">
        <v>4393810380883</v>
      </c>
      <c r="E24" s="9">
        <v>4559573709411</v>
      </c>
      <c r="F24" s="9">
        <v>1876409299238</v>
      </c>
      <c r="G24" s="9">
        <v>525422150049</v>
      </c>
      <c r="H24" s="9">
        <v>1476909260772</v>
      </c>
      <c r="I24" s="9">
        <v>2916901120111</v>
      </c>
      <c r="J24" s="9">
        <v>127171436363</v>
      </c>
      <c r="K24" s="9">
        <v>36005365328</v>
      </c>
    </row>
    <row r="25" spans="1:11" ht="15.75" customHeight="1" x14ac:dyDescent="0.3">
      <c r="A25" s="24"/>
      <c r="B25" s="24"/>
      <c r="C25" s="8">
        <v>2019</v>
      </c>
      <c r="D25" s="9">
        <v>4682083844951</v>
      </c>
      <c r="E25" s="9">
        <v>4393810380883</v>
      </c>
      <c r="F25" s="9">
        <v>1874411044438</v>
      </c>
      <c r="G25" s="9">
        <v>1106938318565</v>
      </c>
      <c r="H25" s="9">
        <v>1589486465854</v>
      </c>
      <c r="I25" s="9">
        <v>3092597379097</v>
      </c>
      <c r="J25" s="9">
        <v>236518557420</v>
      </c>
      <c r="K25" s="9">
        <v>59724779679</v>
      </c>
    </row>
    <row r="26" spans="1:11" ht="15.75" customHeight="1" x14ac:dyDescent="0.3">
      <c r="A26" s="24"/>
      <c r="B26" s="24"/>
      <c r="C26" s="8">
        <v>2020</v>
      </c>
      <c r="D26" s="9">
        <v>4452166671985</v>
      </c>
      <c r="E26" s="9">
        <v>4682083844951</v>
      </c>
      <c r="F26" s="9">
        <v>1549617329468</v>
      </c>
      <c r="G26" s="9">
        <v>404567270700</v>
      </c>
      <c r="H26" s="9">
        <v>1224495624254</v>
      </c>
      <c r="I26" s="9">
        <v>3227671047731</v>
      </c>
      <c r="J26" s="9">
        <v>168610282478</v>
      </c>
      <c r="K26" s="9">
        <v>149528741987</v>
      </c>
    </row>
    <row r="27" spans="1:11" ht="15.75" customHeight="1" x14ac:dyDescent="0.3">
      <c r="A27" s="24"/>
      <c r="B27" s="24"/>
      <c r="C27" s="8">
        <v>2021</v>
      </c>
      <c r="D27" s="9">
        <v>4191284422677</v>
      </c>
      <c r="E27" s="9">
        <v>4452166671985</v>
      </c>
      <c r="F27" s="9">
        <v>1282057210341</v>
      </c>
      <c r="G27" s="9">
        <v>483213195704</v>
      </c>
      <c r="H27" s="9">
        <v>1321693219911</v>
      </c>
      <c r="I27" s="9">
        <v>2869591202766</v>
      </c>
      <c r="J27" s="9">
        <v>283602993676</v>
      </c>
      <c r="K27" s="9">
        <v>297289648543</v>
      </c>
    </row>
    <row r="28" spans="1:11" ht="15.75" customHeight="1" x14ac:dyDescent="0.3">
      <c r="A28" s="24"/>
      <c r="B28" s="24"/>
      <c r="C28" s="8">
        <v>2022</v>
      </c>
      <c r="D28" s="9">
        <v>4130321616083</v>
      </c>
      <c r="E28" s="9">
        <v>4191284422677</v>
      </c>
      <c r="F28" s="9">
        <v>1285672230703</v>
      </c>
      <c r="G28" s="9">
        <v>612417576293</v>
      </c>
      <c r="H28" s="9">
        <v>1449163077319</v>
      </c>
      <c r="I28" s="9">
        <v>2681158538764</v>
      </c>
      <c r="J28" s="9">
        <v>432247722254</v>
      </c>
      <c r="K28" s="9">
        <v>346139578657</v>
      </c>
    </row>
    <row r="29" spans="1:11" ht="15.75" customHeight="1" x14ac:dyDescent="0.3">
      <c r="A29" s="24">
        <v>6</v>
      </c>
      <c r="B29" s="24" t="s">
        <v>11</v>
      </c>
      <c r="C29" s="8">
        <v>2018</v>
      </c>
      <c r="D29" s="9">
        <v>1523517170</v>
      </c>
      <c r="E29" s="9">
        <v>1340842765</v>
      </c>
      <c r="F29" s="9">
        <v>1384227944</v>
      </c>
      <c r="G29" s="9">
        <v>192299843</v>
      </c>
      <c r="H29" s="9">
        <v>239353356</v>
      </c>
      <c r="I29" s="9">
        <v>1284163814</v>
      </c>
      <c r="J29" s="9">
        <v>338129985</v>
      </c>
      <c r="K29" s="9">
        <v>208171353</v>
      </c>
    </row>
    <row r="30" spans="1:11" ht="15.75" customHeight="1" x14ac:dyDescent="0.3">
      <c r="A30" s="24"/>
      <c r="B30" s="24"/>
      <c r="C30" s="8">
        <v>2019</v>
      </c>
      <c r="D30" s="9">
        <v>1425983722</v>
      </c>
      <c r="E30" s="9">
        <v>1523517170</v>
      </c>
      <c r="F30" s="9">
        <v>1292805083</v>
      </c>
      <c r="G30" s="9">
        <v>160587363</v>
      </c>
      <c r="H30" s="9">
        <v>212420390</v>
      </c>
      <c r="I30" s="9">
        <v>1213563332</v>
      </c>
      <c r="J30" s="9">
        <v>317815177</v>
      </c>
      <c r="K30" s="9">
        <v>382134244</v>
      </c>
    </row>
    <row r="31" spans="1:11" ht="15.75" customHeight="1" x14ac:dyDescent="0.3">
      <c r="A31" s="24"/>
      <c r="B31" s="24"/>
      <c r="C31" s="8">
        <v>2020</v>
      </c>
      <c r="D31" s="9">
        <v>1225580913</v>
      </c>
      <c r="E31" s="9">
        <v>1425983722</v>
      </c>
      <c r="F31" s="9">
        <v>1103831856</v>
      </c>
      <c r="G31" s="9">
        <v>147207676</v>
      </c>
      <c r="H31" s="9">
        <v>205681950</v>
      </c>
      <c r="I31" s="9">
        <v>1019898963</v>
      </c>
      <c r="J31" s="9">
        <v>123465762</v>
      </c>
      <c r="K31" s="9">
        <v>311711537</v>
      </c>
    </row>
    <row r="32" spans="1:11" ht="15.75" customHeight="1" x14ac:dyDescent="0.3">
      <c r="A32" s="24"/>
      <c r="B32" s="24"/>
      <c r="C32" s="8">
        <v>2021</v>
      </c>
      <c r="D32" s="9">
        <v>1308722065</v>
      </c>
      <c r="E32" s="9">
        <v>1225580913</v>
      </c>
      <c r="F32" s="9">
        <v>1174393432</v>
      </c>
      <c r="G32" s="9">
        <v>244206806</v>
      </c>
      <c r="H32" s="9">
        <v>298548048</v>
      </c>
      <c r="I32" s="9">
        <v>1010174017</v>
      </c>
      <c r="J32" s="9">
        <v>187992998</v>
      </c>
      <c r="K32" s="9">
        <v>199764743</v>
      </c>
    </row>
    <row r="33" spans="1:11" ht="15.75" customHeight="1" x14ac:dyDescent="0.3">
      <c r="A33" s="24"/>
      <c r="B33" s="24"/>
      <c r="C33" s="8">
        <v>2022</v>
      </c>
      <c r="D33" s="9">
        <v>1307186367</v>
      </c>
      <c r="E33" s="9">
        <v>1308722065</v>
      </c>
      <c r="F33" s="9">
        <v>1165412820</v>
      </c>
      <c r="G33" s="9">
        <v>255354186</v>
      </c>
      <c r="H33" s="9">
        <v>306410502</v>
      </c>
      <c r="I33" s="9">
        <v>1000775865</v>
      </c>
      <c r="J33" s="9">
        <v>230065807</v>
      </c>
      <c r="K33" s="9">
        <v>239785159</v>
      </c>
    </row>
    <row r="34" spans="1:11" ht="15.75" customHeight="1" x14ac:dyDescent="0.3">
      <c r="A34" s="24">
        <v>7</v>
      </c>
      <c r="B34" s="21" t="s">
        <v>12</v>
      </c>
      <c r="C34" s="8">
        <v>2018</v>
      </c>
      <c r="D34" s="4">
        <v>747293725435</v>
      </c>
      <c r="E34" s="4">
        <v>636284210210</v>
      </c>
      <c r="F34" s="4">
        <v>356735670030</v>
      </c>
      <c r="G34" s="4">
        <v>291349105535</v>
      </c>
      <c r="H34" s="4">
        <v>408057718435</v>
      </c>
      <c r="I34" s="4">
        <v>339236007000</v>
      </c>
      <c r="J34" s="4">
        <v>31954131252</v>
      </c>
      <c r="K34" s="4">
        <v>4351665150</v>
      </c>
    </row>
    <row r="35" spans="1:11" ht="15.75" customHeight="1" x14ac:dyDescent="0.3">
      <c r="A35" s="24"/>
      <c r="B35" s="22"/>
      <c r="C35" s="8">
        <v>2019</v>
      </c>
      <c r="D35" s="9">
        <v>790845543826</v>
      </c>
      <c r="E35" s="4">
        <v>747293725435</v>
      </c>
      <c r="F35" s="9">
        <v>378352247338</v>
      </c>
      <c r="G35" s="9">
        <v>293281364781</v>
      </c>
      <c r="H35" s="9">
        <v>410463595860</v>
      </c>
      <c r="I35" s="9">
        <v>380381947966</v>
      </c>
      <c r="J35" s="9">
        <v>44943627900</v>
      </c>
      <c r="K35" s="9">
        <v>5594998050</v>
      </c>
    </row>
    <row r="36" spans="1:11" ht="15.75" customHeight="1" x14ac:dyDescent="0.3">
      <c r="A36" s="24"/>
      <c r="B36" s="22"/>
      <c r="C36" s="8">
        <v>2020</v>
      </c>
      <c r="D36" s="9">
        <v>773863042440</v>
      </c>
      <c r="E36" s="9">
        <v>790845543826</v>
      </c>
      <c r="F36" s="9">
        <v>379723220668</v>
      </c>
      <c r="G36" s="9">
        <v>247102759160</v>
      </c>
      <c r="H36" s="9">
        <v>366908471713</v>
      </c>
      <c r="I36" s="9">
        <v>406954570727</v>
      </c>
      <c r="J36" s="9">
        <v>42520246722</v>
      </c>
      <c r="K36" s="9">
        <v>9324996750</v>
      </c>
    </row>
    <row r="37" spans="1:11" ht="15.75" customHeight="1" x14ac:dyDescent="0.3">
      <c r="A37" s="24"/>
      <c r="B37" s="22"/>
      <c r="C37" s="8">
        <v>2021</v>
      </c>
      <c r="D37" s="10">
        <v>889125250792</v>
      </c>
      <c r="E37" s="9">
        <v>773863042440</v>
      </c>
      <c r="F37" s="10">
        <v>433383441542</v>
      </c>
      <c r="G37" s="9">
        <v>241664687612</v>
      </c>
      <c r="H37" s="4">
        <v>347288021564</v>
      </c>
      <c r="I37" s="10">
        <v>541837229228</v>
      </c>
      <c r="J37" s="10">
        <v>84524160228</v>
      </c>
      <c r="K37" s="9">
        <v>9324996750</v>
      </c>
    </row>
    <row r="38" spans="1:11" ht="15.75" customHeight="1" x14ac:dyDescent="0.3">
      <c r="A38" s="24"/>
      <c r="B38" s="23"/>
      <c r="C38" s="8">
        <v>2022</v>
      </c>
      <c r="D38" s="10">
        <v>1033289474829</v>
      </c>
      <c r="E38" s="10">
        <v>889125250792</v>
      </c>
      <c r="F38" s="10">
        <v>543799195487</v>
      </c>
      <c r="G38" s="9">
        <v>333670108915</v>
      </c>
      <c r="H38" s="4">
        <v>442535947408</v>
      </c>
      <c r="I38" s="10">
        <v>590753527421</v>
      </c>
      <c r="J38" s="10">
        <v>74865302076</v>
      </c>
      <c r="K38" s="9">
        <v>29841405600</v>
      </c>
    </row>
    <row r="39" spans="1:11" ht="14" x14ac:dyDescent="0.3">
      <c r="A39" s="24">
        <v>8</v>
      </c>
      <c r="B39" s="24" t="s">
        <v>13</v>
      </c>
      <c r="C39" s="8">
        <v>2018</v>
      </c>
      <c r="D39" s="5">
        <v>1168956042706</v>
      </c>
      <c r="E39" s="9">
        <v>1392636444501</v>
      </c>
      <c r="F39" s="4">
        <v>809166450672</v>
      </c>
      <c r="G39" s="4">
        <v>158255592250</v>
      </c>
      <c r="H39" s="4">
        <v>192308466864</v>
      </c>
      <c r="I39" s="4">
        <v>976647575842</v>
      </c>
      <c r="J39" s="4">
        <v>92649656775</v>
      </c>
      <c r="K39" s="9">
        <v>59500000000</v>
      </c>
    </row>
    <row r="40" spans="1:11" ht="14" x14ac:dyDescent="0.3">
      <c r="A40" s="24"/>
      <c r="B40" s="24"/>
      <c r="C40" s="8">
        <v>2019</v>
      </c>
      <c r="D40" s="9">
        <v>1393079542074</v>
      </c>
      <c r="E40" s="5">
        <v>1168956042706</v>
      </c>
      <c r="F40" s="9">
        <v>1067652078121</v>
      </c>
      <c r="G40" s="9">
        <v>222440530626</v>
      </c>
      <c r="H40" s="9">
        <v>261784845240</v>
      </c>
      <c r="I40" s="9">
        <v>1131294696834</v>
      </c>
      <c r="J40" s="9">
        <v>215459200242</v>
      </c>
      <c r="K40" s="9">
        <v>59500000000</v>
      </c>
    </row>
    <row r="41" spans="1:11" ht="14" x14ac:dyDescent="0.3">
      <c r="A41" s="24"/>
      <c r="B41" s="24"/>
      <c r="C41" s="8">
        <v>2020</v>
      </c>
      <c r="D41" s="9">
        <v>1566673828068</v>
      </c>
      <c r="E41" s="9">
        <v>1393079542074</v>
      </c>
      <c r="F41" s="9">
        <v>1266586465994</v>
      </c>
      <c r="G41" s="9">
        <v>271641005590</v>
      </c>
      <c r="H41" s="9">
        <v>305958833204</v>
      </c>
      <c r="I41" s="9">
        <v>1260714994864</v>
      </c>
      <c r="J41" s="9">
        <v>181812593992</v>
      </c>
      <c r="K41" s="9">
        <v>59500000000</v>
      </c>
    </row>
    <row r="42" spans="1:11" ht="14" x14ac:dyDescent="0.3">
      <c r="A42" s="24"/>
      <c r="B42" s="24"/>
      <c r="C42" s="8">
        <v>2021</v>
      </c>
      <c r="D42" s="9">
        <v>1697387196209</v>
      </c>
      <c r="E42" s="9">
        <v>1566673828068</v>
      </c>
      <c r="F42" s="9">
        <v>1358085356038</v>
      </c>
      <c r="G42" s="9">
        <v>283104828760</v>
      </c>
      <c r="H42" s="9">
        <v>310020233374</v>
      </c>
      <c r="I42" s="9">
        <v>1387366962835</v>
      </c>
      <c r="J42" s="9">
        <v>187066990085</v>
      </c>
      <c r="K42" s="9">
        <v>59500000000</v>
      </c>
    </row>
    <row r="43" spans="1:11" ht="14" x14ac:dyDescent="0.3">
      <c r="A43" s="24"/>
      <c r="B43" s="24"/>
      <c r="C43" s="8">
        <v>2022</v>
      </c>
      <c r="D43" s="9">
        <v>1718287453575</v>
      </c>
      <c r="E43" s="9">
        <v>1697387196209</v>
      </c>
      <c r="F43" s="9">
        <v>1383998340429</v>
      </c>
      <c r="G43" s="9">
        <v>139037021213</v>
      </c>
      <c r="H43" s="9">
        <v>168244583827</v>
      </c>
      <c r="I43" s="9">
        <v>1550042869748</v>
      </c>
      <c r="J43" s="9">
        <v>220704543072</v>
      </c>
      <c r="K43" s="9">
        <v>59500000000</v>
      </c>
    </row>
    <row r="44" spans="1:11" ht="14" x14ac:dyDescent="0.3">
      <c r="A44" s="24">
        <v>9</v>
      </c>
      <c r="B44" s="24" t="s">
        <v>14</v>
      </c>
      <c r="C44" s="8">
        <v>2018</v>
      </c>
      <c r="D44" s="9">
        <v>3392980</v>
      </c>
      <c r="E44" s="9">
        <v>2939456</v>
      </c>
      <c r="F44" s="9">
        <v>1472140</v>
      </c>
      <c r="G44" s="9">
        <v>1467508</v>
      </c>
      <c r="H44" s="5">
        <v>2166496</v>
      </c>
      <c r="I44" s="9">
        <v>1226484</v>
      </c>
      <c r="J44" s="9">
        <v>50467</v>
      </c>
      <c r="K44" s="9">
        <v>17996</v>
      </c>
    </row>
    <row r="45" spans="1:11" ht="14" x14ac:dyDescent="0.3">
      <c r="A45" s="24"/>
      <c r="B45" s="24"/>
      <c r="C45" s="8">
        <v>2019</v>
      </c>
      <c r="D45" s="9">
        <v>2999767</v>
      </c>
      <c r="E45" s="9">
        <v>3392980</v>
      </c>
      <c r="F45" s="9">
        <v>1141009</v>
      </c>
      <c r="G45" s="9">
        <v>1133685</v>
      </c>
      <c r="H45" s="9">
        <v>1714449</v>
      </c>
      <c r="I45" s="9">
        <v>1285318</v>
      </c>
      <c r="J45" s="9">
        <v>64021</v>
      </c>
      <c r="K45" s="9">
        <v>22495</v>
      </c>
    </row>
    <row r="46" spans="1:11" ht="14" x14ac:dyDescent="0.3">
      <c r="A46" s="24"/>
      <c r="B46" s="24"/>
      <c r="C46" s="8">
        <v>2020</v>
      </c>
      <c r="D46" s="9">
        <v>2963007</v>
      </c>
      <c r="E46" s="9">
        <v>2999767</v>
      </c>
      <c r="F46" s="9">
        <v>1241540</v>
      </c>
      <c r="G46" s="9">
        <v>1085439</v>
      </c>
      <c r="H46" s="9">
        <v>1640851</v>
      </c>
      <c r="I46" s="9">
        <v>1322156</v>
      </c>
      <c r="J46" s="9">
        <v>67093</v>
      </c>
      <c r="K46" s="9">
        <v>26994</v>
      </c>
    </row>
    <row r="47" spans="1:11" ht="14" x14ac:dyDescent="0.3">
      <c r="A47" s="24"/>
      <c r="B47" s="24"/>
      <c r="C47" s="8">
        <v>2021</v>
      </c>
      <c r="D47" s="9">
        <v>2993218</v>
      </c>
      <c r="E47" s="9">
        <v>2963007</v>
      </c>
      <c r="F47" s="9">
        <v>1320277</v>
      </c>
      <c r="G47" s="9">
        <v>1131686</v>
      </c>
      <c r="H47" s="9">
        <v>1605521</v>
      </c>
      <c r="I47" s="9">
        <v>1387697</v>
      </c>
      <c r="J47" s="9">
        <v>91723</v>
      </c>
      <c r="K47" s="9">
        <v>26994</v>
      </c>
    </row>
    <row r="48" spans="1:11" ht="14" x14ac:dyDescent="0.3">
      <c r="A48" s="24"/>
      <c r="B48" s="24"/>
      <c r="C48" s="8">
        <v>2022</v>
      </c>
      <c r="D48" s="9">
        <v>3173651</v>
      </c>
      <c r="E48" s="9">
        <v>2993218</v>
      </c>
      <c r="F48" s="9">
        <v>1582322</v>
      </c>
      <c r="G48" s="9">
        <v>1189965</v>
      </c>
      <c r="H48" s="9">
        <v>1728614</v>
      </c>
      <c r="I48" s="9">
        <v>1445037</v>
      </c>
      <c r="J48" s="9">
        <v>93065</v>
      </c>
      <c r="K48" s="9">
        <v>35992</v>
      </c>
    </row>
    <row r="49" spans="1:11" ht="14" x14ac:dyDescent="0.3">
      <c r="A49" s="24">
        <v>10</v>
      </c>
      <c r="B49" s="21" t="s">
        <v>15</v>
      </c>
      <c r="C49" s="8">
        <v>2018</v>
      </c>
      <c r="D49" s="9">
        <v>758846556031</v>
      </c>
      <c r="E49" s="4">
        <v>576963542579</v>
      </c>
      <c r="F49" s="9">
        <v>490747589782</v>
      </c>
      <c r="G49" s="4">
        <v>183224424681</v>
      </c>
      <c r="H49" s="9">
        <v>195678977792</v>
      </c>
      <c r="I49" s="4">
        <v>563167578239</v>
      </c>
      <c r="J49" s="9">
        <v>90195136265</v>
      </c>
      <c r="K49" s="4">
        <v>14200138260</v>
      </c>
    </row>
    <row r="50" spans="1:11" ht="14" x14ac:dyDescent="0.3">
      <c r="A50" s="24"/>
      <c r="B50" s="22"/>
      <c r="C50" s="8">
        <v>2019</v>
      </c>
      <c r="D50" s="9">
        <v>848676035300</v>
      </c>
      <c r="E50" s="9">
        <v>758846556031</v>
      </c>
      <c r="F50" s="9">
        <v>483422211591</v>
      </c>
      <c r="G50" s="9">
        <v>161901915986</v>
      </c>
      <c r="H50" s="4">
        <v>207108590481</v>
      </c>
      <c r="I50" s="9">
        <v>641567444819</v>
      </c>
      <c r="J50" s="9">
        <v>103723133972</v>
      </c>
      <c r="K50" s="9">
        <v>26140929100</v>
      </c>
    </row>
    <row r="51" spans="1:11" ht="14" x14ac:dyDescent="0.3">
      <c r="A51" s="24"/>
      <c r="B51" s="22"/>
      <c r="C51" s="8">
        <v>2020</v>
      </c>
      <c r="D51" s="9">
        <v>906924214166</v>
      </c>
      <c r="E51" s="9">
        <v>848676035300</v>
      </c>
      <c r="F51" s="9">
        <v>423486192138</v>
      </c>
      <c r="G51" s="9">
        <v>188719266211</v>
      </c>
      <c r="H51" s="4">
        <v>244363297557</v>
      </c>
      <c r="I51" s="9">
        <v>662560916609</v>
      </c>
      <c r="J51" s="9">
        <v>38038419405</v>
      </c>
      <c r="K51" s="9">
        <v>28635668400</v>
      </c>
    </row>
    <row r="52" spans="1:11" ht="14" x14ac:dyDescent="0.3">
      <c r="A52" s="24"/>
      <c r="B52" s="22"/>
      <c r="C52" s="8">
        <v>2021</v>
      </c>
      <c r="D52" s="10">
        <v>987563580363</v>
      </c>
      <c r="E52" s="9">
        <v>906924214166</v>
      </c>
      <c r="F52" s="10">
        <v>450325961390</v>
      </c>
      <c r="G52" s="9">
        <v>280958063589</v>
      </c>
      <c r="H52" s="10">
        <v>313387193288</v>
      </c>
      <c r="I52" s="9">
        <v>674176387075</v>
      </c>
      <c r="J52" s="10">
        <v>11844682161</v>
      </c>
      <c r="K52" s="9">
        <v>9677752680</v>
      </c>
    </row>
    <row r="53" spans="1:11" ht="14" x14ac:dyDescent="0.3">
      <c r="A53" s="24"/>
      <c r="B53" s="23"/>
      <c r="C53" s="8">
        <v>2022</v>
      </c>
      <c r="D53" s="10">
        <v>811603660216</v>
      </c>
      <c r="E53" s="10">
        <v>987563580363</v>
      </c>
      <c r="F53" s="10">
        <v>389697575028</v>
      </c>
      <c r="G53" s="9">
        <v>119206775342</v>
      </c>
      <c r="H53" s="10">
        <v>142744113133</v>
      </c>
      <c r="I53" s="9">
        <v>668859547083</v>
      </c>
      <c r="J53" s="10">
        <v>90572477</v>
      </c>
      <c r="K53" s="9">
        <v>9677752680</v>
      </c>
    </row>
  </sheetData>
  <mergeCells count="20">
    <mergeCell ref="A39:A43"/>
    <mergeCell ref="B39:B43"/>
    <mergeCell ref="A44:A48"/>
    <mergeCell ref="B44:B48"/>
    <mergeCell ref="A49:A53"/>
    <mergeCell ref="B49:B53"/>
    <mergeCell ref="B14:B18"/>
    <mergeCell ref="A14:A18"/>
    <mergeCell ref="B19:B23"/>
    <mergeCell ref="A19:A23"/>
    <mergeCell ref="A4:A8"/>
    <mergeCell ref="B4:B8"/>
    <mergeCell ref="B9:B13"/>
    <mergeCell ref="A9:A13"/>
    <mergeCell ref="B34:B38"/>
    <mergeCell ref="A34:A38"/>
    <mergeCell ref="B24:B28"/>
    <mergeCell ref="A24:A28"/>
    <mergeCell ref="A29:A33"/>
    <mergeCell ref="B29:B33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workbookViewId="0">
      <selection activeCell="F7" sqref="F7"/>
    </sheetView>
  </sheetViews>
  <sheetFormatPr defaultColWidth="9.1796875" defaultRowHeight="14" x14ac:dyDescent="0.3"/>
  <cols>
    <col min="1" max="1" width="5.1796875" style="11" customWidth="1"/>
    <col min="2" max="2" width="9.1796875" style="11" customWidth="1"/>
    <col min="3" max="3" width="9.1796875" style="11"/>
    <col min="4" max="4" width="16.453125" style="11" bestFit="1" customWidth="1"/>
    <col min="5" max="5" width="17.54296875" style="11" bestFit="1" customWidth="1"/>
    <col min="6" max="6" width="20.26953125" style="11" bestFit="1" customWidth="1"/>
    <col min="7" max="16384" width="9.1796875" style="11"/>
  </cols>
  <sheetData>
    <row r="1" spans="1:6" x14ac:dyDescent="0.3">
      <c r="A1" s="14" t="s">
        <v>22</v>
      </c>
    </row>
    <row r="3" spans="1:6" x14ac:dyDescent="0.3">
      <c r="A3" s="6" t="s">
        <v>0</v>
      </c>
      <c r="B3" s="6" t="s">
        <v>1</v>
      </c>
      <c r="C3" s="6" t="s">
        <v>3</v>
      </c>
      <c r="D3" s="7" t="s">
        <v>17</v>
      </c>
      <c r="E3" s="7" t="s">
        <v>2</v>
      </c>
      <c r="F3" s="12" t="s">
        <v>22</v>
      </c>
    </row>
    <row r="4" spans="1:6" x14ac:dyDescent="0.3">
      <c r="A4" s="24">
        <v>1</v>
      </c>
      <c r="B4" s="24" t="s">
        <v>6</v>
      </c>
      <c r="C4" s="8">
        <v>2018</v>
      </c>
      <c r="D4" s="4">
        <v>11660003</v>
      </c>
      <c r="E4" s="4">
        <v>22707150</v>
      </c>
      <c r="F4" s="13">
        <f>D4/E4</f>
        <v>0.51349478027845852</v>
      </c>
    </row>
    <row r="5" spans="1:6" x14ac:dyDescent="0.3">
      <c r="A5" s="24"/>
      <c r="B5" s="24"/>
      <c r="C5" s="8">
        <v>2019</v>
      </c>
      <c r="D5" s="9">
        <v>12038210</v>
      </c>
      <c r="E5" s="9">
        <v>26671104</v>
      </c>
      <c r="F5" s="13">
        <f t="shared" ref="F5:F53" si="0">D5/E5</f>
        <v>0.45135776906722719</v>
      </c>
    </row>
    <row r="6" spans="1:6" x14ac:dyDescent="0.3">
      <c r="A6" s="24"/>
      <c r="B6" s="24"/>
      <c r="C6" s="8">
        <v>2020</v>
      </c>
      <c r="D6" s="9">
        <v>53270272</v>
      </c>
      <c r="E6" s="9">
        <v>50318053</v>
      </c>
      <c r="F6" s="13">
        <f t="shared" si="0"/>
        <v>1.0586711691726227</v>
      </c>
    </row>
    <row r="7" spans="1:6" x14ac:dyDescent="0.3">
      <c r="A7" s="24"/>
      <c r="B7" s="24"/>
      <c r="C7" s="8">
        <v>2021</v>
      </c>
      <c r="D7" s="9">
        <v>63074704</v>
      </c>
      <c r="E7" s="9">
        <v>54940607</v>
      </c>
      <c r="F7" s="13">
        <f t="shared" si="0"/>
        <v>1.1480525506389108</v>
      </c>
    </row>
    <row r="8" spans="1:6" x14ac:dyDescent="0.3">
      <c r="A8" s="24"/>
      <c r="B8" s="24"/>
      <c r="C8" s="8">
        <v>2022</v>
      </c>
      <c r="D8" s="9">
        <v>57832529</v>
      </c>
      <c r="E8" s="9">
        <v>57473007</v>
      </c>
      <c r="F8" s="13">
        <f t="shared" si="0"/>
        <v>1.0062554931221885</v>
      </c>
    </row>
    <row r="9" spans="1:6" x14ac:dyDescent="0.3">
      <c r="A9" s="24">
        <v>2</v>
      </c>
      <c r="B9" s="24" t="s">
        <v>7</v>
      </c>
      <c r="C9" s="8">
        <v>2018</v>
      </c>
      <c r="D9" s="4">
        <v>46620996</v>
      </c>
      <c r="E9" s="9">
        <v>49916800</v>
      </c>
      <c r="F9" s="13">
        <f t="shared" si="0"/>
        <v>0.933974052823899</v>
      </c>
    </row>
    <row r="10" spans="1:6" x14ac:dyDescent="0.3">
      <c r="A10" s="24"/>
      <c r="B10" s="24"/>
      <c r="C10" s="8">
        <v>2019</v>
      </c>
      <c r="D10" s="9">
        <v>41996071</v>
      </c>
      <c r="E10" s="9">
        <v>54202488</v>
      </c>
      <c r="F10" s="13">
        <f t="shared" si="0"/>
        <v>0.77479969185178366</v>
      </c>
    </row>
    <row r="11" spans="1:6" x14ac:dyDescent="0.3">
      <c r="A11" s="24"/>
      <c r="B11" s="24"/>
      <c r="C11" s="8">
        <v>2020</v>
      </c>
      <c r="D11" s="9">
        <v>83998472</v>
      </c>
      <c r="E11" s="9">
        <v>79138044</v>
      </c>
      <c r="F11" s="13">
        <f t="shared" si="0"/>
        <v>1.0614170853148708</v>
      </c>
    </row>
    <row r="12" spans="1:6" x14ac:dyDescent="0.3">
      <c r="A12" s="24"/>
      <c r="B12" s="24"/>
      <c r="C12" s="8">
        <v>2021</v>
      </c>
      <c r="D12" s="9">
        <v>92285331</v>
      </c>
      <c r="E12" s="9">
        <v>86986509</v>
      </c>
      <c r="F12" s="13">
        <f t="shared" si="0"/>
        <v>1.0609154460952099</v>
      </c>
    </row>
    <row r="13" spans="1:6" x14ac:dyDescent="0.3">
      <c r="A13" s="24"/>
      <c r="B13" s="24"/>
      <c r="C13" s="8">
        <v>2022</v>
      </c>
      <c r="D13" s="9">
        <v>86810262</v>
      </c>
      <c r="E13" s="9">
        <v>93623038</v>
      </c>
      <c r="F13" s="13">
        <f t="shared" si="0"/>
        <v>0.92723184223096888</v>
      </c>
    </row>
    <row r="14" spans="1:6" x14ac:dyDescent="0.3">
      <c r="A14" s="24">
        <v>3</v>
      </c>
      <c r="B14" s="24" t="s">
        <v>8</v>
      </c>
      <c r="C14" s="8">
        <v>2018</v>
      </c>
      <c r="D14" s="4">
        <v>9049161944940</v>
      </c>
      <c r="E14" s="4">
        <v>8542544481694</v>
      </c>
      <c r="F14" s="13">
        <f t="shared" si="0"/>
        <v>1.0593052180567091</v>
      </c>
    </row>
    <row r="15" spans="1:6" x14ac:dyDescent="0.3">
      <c r="A15" s="24"/>
      <c r="B15" s="24"/>
      <c r="C15" s="8">
        <v>2019</v>
      </c>
      <c r="D15" s="9">
        <v>9125978611155</v>
      </c>
      <c r="E15" s="9">
        <v>9911940195318</v>
      </c>
      <c r="F15" s="13">
        <f t="shared" si="0"/>
        <v>0.92070557643858097</v>
      </c>
    </row>
    <row r="16" spans="1:6" x14ac:dyDescent="0.3">
      <c r="A16" s="24"/>
      <c r="B16" s="24"/>
      <c r="C16" s="8">
        <v>2020</v>
      </c>
      <c r="D16" s="9">
        <v>8506032464592</v>
      </c>
      <c r="E16" s="9">
        <v>11271468049958</v>
      </c>
      <c r="F16" s="13">
        <f t="shared" si="0"/>
        <v>0.75465169460545078</v>
      </c>
    </row>
    <row r="17" spans="1:6" x14ac:dyDescent="0.3">
      <c r="A17" s="24"/>
      <c r="B17" s="24"/>
      <c r="C17" s="8">
        <v>2021</v>
      </c>
      <c r="D17" s="9">
        <v>8557621869393</v>
      </c>
      <c r="E17" s="9">
        <v>11360031396135</v>
      </c>
      <c r="F17" s="13">
        <f t="shared" si="0"/>
        <v>0.75330970232217331</v>
      </c>
    </row>
    <row r="18" spans="1:6" x14ac:dyDescent="0.3">
      <c r="A18" s="24"/>
      <c r="B18" s="24"/>
      <c r="C18" s="8">
        <v>2022</v>
      </c>
      <c r="D18" s="9">
        <v>9441466604896</v>
      </c>
      <c r="E18" s="9">
        <v>12834694090515</v>
      </c>
      <c r="F18" s="13">
        <f t="shared" si="0"/>
        <v>0.73562069639613481</v>
      </c>
    </row>
    <row r="19" spans="1:6" x14ac:dyDescent="0.3">
      <c r="A19" s="24">
        <v>4</v>
      </c>
      <c r="B19" s="24" t="s">
        <v>9</v>
      </c>
      <c r="C19" s="8">
        <v>2018</v>
      </c>
      <c r="D19" s="9">
        <v>1722999829003</v>
      </c>
      <c r="E19" s="9">
        <v>2489408476680</v>
      </c>
      <c r="F19" s="13">
        <f t="shared" si="0"/>
        <v>0.69213222544372432</v>
      </c>
    </row>
    <row r="20" spans="1:6" x14ac:dyDescent="0.3">
      <c r="A20" s="24"/>
      <c r="B20" s="24"/>
      <c r="C20" s="8">
        <v>2019</v>
      </c>
      <c r="D20" s="9">
        <v>2297546907499</v>
      </c>
      <c r="E20" s="9">
        <v>2765520764915</v>
      </c>
      <c r="F20" s="13">
        <f t="shared" si="0"/>
        <v>0.83078273598485042</v>
      </c>
    </row>
    <row r="21" spans="1:6" x14ac:dyDescent="0.3">
      <c r="A21" s="24"/>
      <c r="B21" s="24"/>
      <c r="C21" s="8">
        <v>2020</v>
      </c>
      <c r="D21" s="9">
        <v>3676532851880</v>
      </c>
      <c r="E21" s="9">
        <v>2894436789153</v>
      </c>
      <c r="F21" s="13">
        <f t="shared" si="0"/>
        <v>1.2702066480283596</v>
      </c>
    </row>
    <row r="22" spans="1:6" x14ac:dyDescent="0.3">
      <c r="A22" s="24"/>
      <c r="B22" s="24"/>
      <c r="C22" s="8">
        <v>2021</v>
      </c>
      <c r="D22" s="9">
        <v>3724365876731</v>
      </c>
      <c r="E22" s="9">
        <v>3042236403412</v>
      </c>
      <c r="F22" s="13">
        <f t="shared" si="0"/>
        <v>1.2242197458928445</v>
      </c>
    </row>
    <row r="23" spans="1:6" x14ac:dyDescent="0.3">
      <c r="A23" s="24"/>
      <c r="B23" s="24"/>
      <c r="C23" s="8">
        <v>2022</v>
      </c>
      <c r="D23" s="9">
        <v>3975927432106</v>
      </c>
      <c r="E23" s="9">
        <v>3351444502184</v>
      </c>
      <c r="F23" s="13">
        <f t="shared" si="0"/>
        <v>1.1863324693322685</v>
      </c>
    </row>
    <row r="24" spans="1:6" x14ac:dyDescent="0.3">
      <c r="A24" s="24">
        <v>5</v>
      </c>
      <c r="B24" s="24" t="s">
        <v>10</v>
      </c>
      <c r="C24" s="8">
        <v>2018</v>
      </c>
      <c r="D24" s="9">
        <v>1476909260772</v>
      </c>
      <c r="E24" s="9">
        <v>2916901120111</v>
      </c>
      <c r="F24" s="13">
        <f t="shared" si="0"/>
        <v>0.50632818870315277</v>
      </c>
    </row>
    <row r="25" spans="1:6" x14ac:dyDescent="0.3">
      <c r="A25" s="24"/>
      <c r="B25" s="24"/>
      <c r="C25" s="8">
        <v>2019</v>
      </c>
      <c r="D25" s="9">
        <v>1589486465854</v>
      </c>
      <c r="E25" s="9">
        <v>3092597379097</v>
      </c>
      <c r="F25" s="13">
        <f t="shared" si="0"/>
        <v>0.51396488808967122</v>
      </c>
    </row>
    <row r="26" spans="1:6" x14ac:dyDescent="0.3">
      <c r="A26" s="24"/>
      <c r="B26" s="24"/>
      <c r="C26" s="8">
        <v>2020</v>
      </c>
      <c r="D26" s="9">
        <v>1224495624254</v>
      </c>
      <c r="E26" s="9">
        <v>3227671047731</v>
      </c>
      <c r="F26" s="13">
        <f t="shared" si="0"/>
        <v>0.37937435573392786</v>
      </c>
    </row>
    <row r="27" spans="1:6" x14ac:dyDescent="0.3">
      <c r="A27" s="24"/>
      <c r="B27" s="24"/>
      <c r="C27" s="8">
        <v>2021</v>
      </c>
      <c r="D27" s="9">
        <v>1321693219911</v>
      </c>
      <c r="E27" s="9">
        <v>2869591202766</v>
      </c>
      <c r="F27" s="13">
        <f t="shared" si="0"/>
        <v>0.4605858906442909</v>
      </c>
    </row>
    <row r="28" spans="1:6" x14ac:dyDescent="0.3">
      <c r="A28" s="24"/>
      <c r="B28" s="24"/>
      <c r="C28" s="8">
        <v>2022</v>
      </c>
      <c r="D28" s="9">
        <v>1449163077319</v>
      </c>
      <c r="E28" s="9">
        <v>2681158538764</v>
      </c>
      <c r="F28" s="13">
        <f t="shared" si="0"/>
        <v>0.54049883897841289</v>
      </c>
    </row>
    <row r="29" spans="1:6" x14ac:dyDescent="0.3">
      <c r="A29" s="24">
        <v>6</v>
      </c>
      <c r="B29" s="24" t="s">
        <v>11</v>
      </c>
      <c r="C29" s="8">
        <v>2018</v>
      </c>
      <c r="D29" s="9">
        <v>239353356</v>
      </c>
      <c r="E29" s="9">
        <v>1284163814</v>
      </c>
      <c r="F29" s="13">
        <f t="shared" si="0"/>
        <v>0.18638849139849692</v>
      </c>
    </row>
    <row r="30" spans="1:6" x14ac:dyDescent="0.3">
      <c r="A30" s="24"/>
      <c r="B30" s="24"/>
      <c r="C30" s="8">
        <v>2019</v>
      </c>
      <c r="D30" s="9">
        <v>212420390</v>
      </c>
      <c r="E30" s="9">
        <v>1213563332</v>
      </c>
      <c r="F30" s="13">
        <f t="shared" si="0"/>
        <v>0.17503856980411797</v>
      </c>
    </row>
    <row r="31" spans="1:6" x14ac:dyDescent="0.3">
      <c r="A31" s="24"/>
      <c r="B31" s="24"/>
      <c r="C31" s="8">
        <v>2020</v>
      </c>
      <c r="D31" s="9">
        <v>205681950</v>
      </c>
      <c r="E31" s="9">
        <v>1019898963</v>
      </c>
      <c r="F31" s="13">
        <f t="shared" si="0"/>
        <v>0.20166894708373187</v>
      </c>
    </row>
    <row r="32" spans="1:6" x14ac:dyDescent="0.3">
      <c r="A32" s="24"/>
      <c r="B32" s="24"/>
      <c r="C32" s="8">
        <v>2021</v>
      </c>
      <c r="D32" s="9">
        <v>298548048</v>
      </c>
      <c r="E32" s="9">
        <v>1010174017</v>
      </c>
      <c r="F32" s="13">
        <f t="shared" si="0"/>
        <v>0.29554120673844259</v>
      </c>
    </row>
    <row r="33" spans="1:6" x14ac:dyDescent="0.3">
      <c r="A33" s="24"/>
      <c r="B33" s="24"/>
      <c r="C33" s="8">
        <v>2022</v>
      </c>
      <c r="D33" s="9">
        <v>306410502</v>
      </c>
      <c r="E33" s="9">
        <v>1000775865</v>
      </c>
      <c r="F33" s="13">
        <f t="shared" si="0"/>
        <v>0.30617295312172621</v>
      </c>
    </row>
    <row r="34" spans="1:6" x14ac:dyDescent="0.3">
      <c r="A34" s="24">
        <v>7</v>
      </c>
      <c r="B34" s="21" t="s">
        <v>12</v>
      </c>
      <c r="C34" s="8">
        <v>2018</v>
      </c>
      <c r="D34" s="4">
        <v>408057718435</v>
      </c>
      <c r="E34" s="4">
        <v>339236007000</v>
      </c>
      <c r="F34" s="13">
        <f t="shared" si="0"/>
        <v>1.2028726609643179</v>
      </c>
    </row>
    <row r="35" spans="1:6" x14ac:dyDescent="0.3">
      <c r="A35" s="24"/>
      <c r="B35" s="22"/>
      <c r="C35" s="8">
        <v>2019</v>
      </c>
      <c r="D35" s="9">
        <v>410463595860</v>
      </c>
      <c r="E35" s="9">
        <v>380381947966</v>
      </c>
      <c r="F35" s="13">
        <f t="shared" si="0"/>
        <v>1.0790827431608001</v>
      </c>
    </row>
    <row r="36" spans="1:6" x14ac:dyDescent="0.3">
      <c r="A36" s="24"/>
      <c r="B36" s="22"/>
      <c r="C36" s="8">
        <v>2020</v>
      </c>
      <c r="D36" s="9">
        <v>366908471713</v>
      </c>
      <c r="E36" s="9">
        <v>406954570727</v>
      </c>
      <c r="F36" s="13">
        <f t="shared" si="0"/>
        <v>0.90159565245216433</v>
      </c>
    </row>
    <row r="37" spans="1:6" x14ac:dyDescent="0.3">
      <c r="A37" s="24"/>
      <c r="B37" s="22"/>
      <c r="C37" s="8">
        <v>2021</v>
      </c>
      <c r="D37" s="4">
        <v>347288021564</v>
      </c>
      <c r="E37" s="10">
        <v>541837229228</v>
      </c>
      <c r="F37" s="13">
        <f t="shared" si="0"/>
        <v>0.64094529284894242</v>
      </c>
    </row>
    <row r="38" spans="1:6" x14ac:dyDescent="0.3">
      <c r="A38" s="24"/>
      <c r="B38" s="23"/>
      <c r="C38" s="8">
        <v>2022</v>
      </c>
      <c r="D38" s="4">
        <v>442535947408</v>
      </c>
      <c r="E38" s="10">
        <v>590753527421</v>
      </c>
      <c r="F38" s="13">
        <f t="shared" si="0"/>
        <v>0.74910419805691175</v>
      </c>
    </row>
    <row r="39" spans="1:6" x14ac:dyDescent="0.3">
      <c r="A39" s="24">
        <v>8</v>
      </c>
      <c r="B39" s="24" t="s">
        <v>13</v>
      </c>
      <c r="C39" s="8">
        <v>2018</v>
      </c>
      <c r="D39" s="4">
        <v>192308466864</v>
      </c>
      <c r="E39" s="4">
        <v>976647575842</v>
      </c>
      <c r="F39" s="13">
        <f t="shared" si="0"/>
        <v>0.19690671601596363</v>
      </c>
    </row>
    <row r="40" spans="1:6" x14ac:dyDescent="0.3">
      <c r="A40" s="24"/>
      <c r="B40" s="24"/>
      <c r="C40" s="8">
        <v>2019</v>
      </c>
      <c r="D40" s="9">
        <v>261784845240</v>
      </c>
      <c r="E40" s="9">
        <v>1131294696834</v>
      </c>
      <c r="F40" s="13">
        <f t="shared" si="0"/>
        <v>0.2314028749296019</v>
      </c>
    </row>
    <row r="41" spans="1:6" x14ac:dyDescent="0.3">
      <c r="A41" s="24"/>
      <c r="B41" s="24"/>
      <c r="C41" s="8">
        <v>2020</v>
      </c>
      <c r="D41" s="9">
        <v>305958833204</v>
      </c>
      <c r="E41" s="9">
        <v>1260714994864</v>
      </c>
      <c r="F41" s="13">
        <f t="shared" si="0"/>
        <v>0.24268675668207262</v>
      </c>
    </row>
    <row r="42" spans="1:6" x14ac:dyDescent="0.3">
      <c r="A42" s="24"/>
      <c r="B42" s="24"/>
      <c r="C42" s="8">
        <v>2021</v>
      </c>
      <c r="D42" s="9">
        <v>310020233374</v>
      </c>
      <c r="E42" s="9">
        <v>1387366962835</v>
      </c>
      <c r="F42" s="13">
        <f t="shared" si="0"/>
        <v>0.22345943191590242</v>
      </c>
    </row>
    <row r="43" spans="1:6" x14ac:dyDescent="0.3">
      <c r="A43" s="24"/>
      <c r="B43" s="24"/>
      <c r="C43" s="8">
        <v>2022</v>
      </c>
      <c r="D43" s="9">
        <v>168244583827</v>
      </c>
      <c r="E43" s="9">
        <v>1550042869748</v>
      </c>
      <c r="F43" s="13">
        <f t="shared" si="0"/>
        <v>0.10854189075064263</v>
      </c>
    </row>
    <row r="44" spans="1:6" x14ac:dyDescent="0.3">
      <c r="A44" s="24">
        <v>9</v>
      </c>
      <c r="B44" s="24" t="s">
        <v>14</v>
      </c>
      <c r="C44" s="8">
        <v>2018</v>
      </c>
      <c r="D44" s="5">
        <v>2166496</v>
      </c>
      <c r="E44" s="9">
        <v>1226484</v>
      </c>
      <c r="F44" s="13">
        <f t="shared" si="0"/>
        <v>1.7664282615998252</v>
      </c>
    </row>
    <row r="45" spans="1:6" x14ac:dyDescent="0.3">
      <c r="A45" s="24"/>
      <c r="B45" s="24"/>
      <c r="C45" s="8">
        <v>2019</v>
      </c>
      <c r="D45" s="9">
        <v>1714449</v>
      </c>
      <c r="E45" s="9">
        <v>1285318</v>
      </c>
      <c r="F45" s="13">
        <f t="shared" si="0"/>
        <v>1.3338714621595589</v>
      </c>
    </row>
    <row r="46" spans="1:6" x14ac:dyDescent="0.3">
      <c r="A46" s="24"/>
      <c r="B46" s="24"/>
      <c r="C46" s="8">
        <v>2020</v>
      </c>
      <c r="D46" s="9">
        <v>1640851</v>
      </c>
      <c r="E46" s="9">
        <v>1322156</v>
      </c>
      <c r="F46" s="13">
        <f t="shared" si="0"/>
        <v>1.2410419042836096</v>
      </c>
    </row>
    <row r="47" spans="1:6" x14ac:dyDescent="0.3">
      <c r="A47" s="24"/>
      <c r="B47" s="24"/>
      <c r="C47" s="8">
        <v>2021</v>
      </c>
      <c r="D47" s="9">
        <v>1605521</v>
      </c>
      <c r="E47" s="9">
        <v>1387697</v>
      </c>
      <c r="F47" s="13">
        <f t="shared" si="0"/>
        <v>1.1569679836448448</v>
      </c>
    </row>
    <row r="48" spans="1:6" x14ac:dyDescent="0.3">
      <c r="A48" s="24"/>
      <c r="B48" s="24"/>
      <c r="C48" s="8">
        <v>2022</v>
      </c>
      <c r="D48" s="9">
        <v>1728614</v>
      </c>
      <c r="E48" s="9">
        <v>1445037</v>
      </c>
      <c r="F48" s="13">
        <f t="shared" si="0"/>
        <v>1.1962420339409994</v>
      </c>
    </row>
    <row r="49" spans="1:6" x14ac:dyDescent="0.3">
      <c r="A49" s="24">
        <v>10</v>
      </c>
      <c r="B49" s="21" t="s">
        <v>15</v>
      </c>
      <c r="C49" s="8">
        <v>2018</v>
      </c>
      <c r="D49" s="9">
        <v>195678977792</v>
      </c>
      <c r="E49" s="4">
        <v>563167578239</v>
      </c>
      <c r="F49" s="13">
        <f t="shared" si="0"/>
        <v>0.34746136914322995</v>
      </c>
    </row>
    <row r="50" spans="1:6" x14ac:dyDescent="0.3">
      <c r="A50" s="24"/>
      <c r="B50" s="22"/>
      <c r="C50" s="8">
        <v>2019</v>
      </c>
      <c r="D50" s="4">
        <v>207108590481</v>
      </c>
      <c r="E50" s="9">
        <v>641567444819</v>
      </c>
      <c r="F50" s="13">
        <f t="shared" si="0"/>
        <v>0.32281655210767402</v>
      </c>
    </row>
    <row r="51" spans="1:6" x14ac:dyDescent="0.3">
      <c r="A51" s="24"/>
      <c r="B51" s="22"/>
      <c r="C51" s="8">
        <v>2020</v>
      </c>
      <c r="D51" s="4">
        <v>244363297557</v>
      </c>
      <c r="E51" s="9">
        <v>662560916609</v>
      </c>
      <c r="F51" s="13">
        <f t="shared" si="0"/>
        <v>0.36881634794828561</v>
      </c>
    </row>
    <row r="52" spans="1:6" x14ac:dyDescent="0.3">
      <c r="A52" s="24"/>
      <c r="B52" s="22"/>
      <c r="C52" s="8">
        <v>2021</v>
      </c>
      <c r="D52" s="10">
        <v>313387193288</v>
      </c>
      <c r="E52" s="9">
        <v>674176387075</v>
      </c>
      <c r="F52" s="13">
        <f t="shared" si="0"/>
        <v>0.46484451146037642</v>
      </c>
    </row>
    <row r="53" spans="1:6" x14ac:dyDescent="0.3">
      <c r="A53" s="24"/>
      <c r="B53" s="23"/>
      <c r="C53" s="8">
        <v>2022</v>
      </c>
      <c r="D53" s="10">
        <v>142744113133</v>
      </c>
      <c r="E53" s="9">
        <v>668859547083</v>
      </c>
      <c r="F53" s="13">
        <f t="shared" si="0"/>
        <v>0.21341418202899123</v>
      </c>
    </row>
  </sheetData>
  <mergeCells count="20">
    <mergeCell ref="A49:A53"/>
    <mergeCell ref="B49:B53"/>
    <mergeCell ref="A34:A38"/>
    <mergeCell ref="B34:B38"/>
    <mergeCell ref="A39:A43"/>
    <mergeCell ref="B39:B43"/>
    <mergeCell ref="A44:A48"/>
    <mergeCell ref="B44:B48"/>
    <mergeCell ref="A19:A23"/>
    <mergeCell ref="B19:B23"/>
    <mergeCell ref="A24:A28"/>
    <mergeCell ref="B24:B28"/>
    <mergeCell ref="A29:A33"/>
    <mergeCell ref="B29:B33"/>
    <mergeCell ref="A4:A8"/>
    <mergeCell ref="B4:B8"/>
    <mergeCell ref="A9:A13"/>
    <mergeCell ref="B9:B13"/>
    <mergeCell ref="A14:A18"/>
    <mergeCell ref="B14:B18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3"/>
  <sheetViews>
    <sheetView workbookViewId="0">
      <selection activeCell="C20" sqref="C20"/>
    </sheetView>
  </sheetViews>
  <sheetFormatPr defaultColWidth="9.1796875" defaultRowHeight="14" x14ac:dyDescent="0.3"/>
  <cols>
    <col min="1" max="1" width="5.1796875" style="11" customWidth="1"/>
    <col min="2" max="2" width="9.1796875" style="11" customWidth="1"/>
    <col min="3" max="3" width="9.1796875" style="11"/>
    <col min="4" max="5" width="16.453125" style="11" bestFit="1" customWidth="1"/>
    <col min="6" max="6" width="24" style="11" bestFit="1" customWidth="1"/>
    <col min="7" max="16384" width="9.1796875" style="11"/>
  </cols>
  <sheetData>
    <row r="1" spans="1:6" x14ac:dyDescent="0.3">
      <c r="A1" s="14" t="s">
        <v>23</v>
      </c>
    </row>
    <row r="3" spans="1:6" x14ac:dyDescent="0.3">
      <c r="A3" s="6" t="s">
        <v>0</v>
      </c>
      <c r="B3" s="6" t="s">
        <v>1</v>
      </c>
      <c r="C3" s="6" t="s">
        <v>3</v>
      </c>
      <c r="D3" s="7" t="s">
        <v>4</v>
      </c>
      <c r="E3" s="7" t="s">
        <v>18</v>
      </c>
      <c r="F3" s="7" t="s">
        <v>23</v>
      </c>
    </row>
    <row r="4" spans="1:6" x14ac:dyDescent="0.3">
      <c r="A4" s="24">
        <v>1</v>
      </c>
      <c r="B4" s="24" t="s">
        <v>6</v>
      </c>
      <c r="C4" s="8">
        <v>2018</v>
      </c>
      <c r="D4" s="4">
        <v>4658781</v>
      </c>
      <c r="E4" s="4">
        <v>2565620</v>
      </c>
      <c r="F4" s="13">
        <f>E4/D4</f>
        <v>0.55070628990716675</v>
      </c>
    </row>
    <row r="5" spans="1:6" x14ac:dyDescent="0.3">
      <c r="A5" s="24"/>
      <c r="B5" s="24"/>
      <c r="C5" s="8">
        <v>2019</v>
      </c>
      <c r="D5" s="9">
        <v>5360029</v>
      </c>
      <c r="E5" s="9">
        <v>1597681</v>
      </c>
      <c r="F5" s="13">
        <f t="shared" ref="F5:F53" si="0">E5/D5</f>
        <v>0.2980732007233543</v>
      </c>
    </row>
    <row r="6" spans="1:6" x14ac:dyDescent="0.3">
      <c r="A6" s="24"/>
      <c r="B6" s="24"/>
      <c r="C6" s="8">
        <v>2020</v>
      </c>
      <c r="D6" s="9">
        <v>7418574</v>
      </c>
      <c r="E6" s="9">
        <v>2507310</v>
      </c>
      <c r="F6" s="13">
        <f t="shared" si="0"/>
        <v>0.33797735252084837</v>
      </c>
    </row>
    <row r="7" spans="1:6" x14ac:dyDescent="0.3">
      <c r="A7" s="24"/>
      <c r="B7" s="24"/>
      <c r="C7" s="8">
        <v>2021</v>
      </c>
      <c r="D7" s="9">
        <v>7911943</v>
      </c>
      <c r="E7" s="9">
        <v>2507310</v>
      </c>
      <c r="F7" s="13">
        <f t="shared" si="0"/>
        <v>0.31690192914686066</v>
      </c>
    </row>
    <row r="8" spans="1:6" x14ac:dyDescent="0.3">
      <c r="A8" s="24"/>
      <c r="B8" s="24"/>
      <c r="C8" s="8">
        <v>2022</v>
      </c>
      <c r="D8" s="9">
        <v>5722194</v>
      </c>
      <c r="E8" s="9">
        <v>2507310</v>
      </c>
      <c r="F8" s="13">
        <f t="shared" si="0"/>
        <v>0.43817284069711721</v>
      </c>
    </row>
    <row r="9" spans="1:6" x14ac:dyDescent="0.3">
      <c r="A9" s="24">
        <v>2</v>
      </c>
      <c r="B9" s="24" t="s">
        <v>7</v>
      </c>
      <c r="C9" s="8">
        <v>2018</v>
      </c>
      <c r="D9" s="4">
        <v>4961851</v>
      </c>
      <c r="E9" s="9">
        <v>2651689</v>
      </c>
      <c r="F9" s="13">
        <f t="shared" si="0"/>
        <v>0.53441528171644015</v>
      </c>
    </row>
    <row r="10" spans="1:6" x14ac:dyDescent="0.3">
      <c r="A10" s="24"/>
      <c r="B10" s="24"/>
      <c r="C10" s="8">
        <v>2019</v>
      </c>
      <c r="D10" s="9">
        <v>5902729</v>
      </c>
      <c r="E10" s="9">
        <v>1501453</v>
      </c>
      <c r="F10" s="13">
        <f t="shared" si="0"/>
        <v>0.25436590431307282</v>
      </c>
    </row>
    <row r="11" spans="1:6" x14ac:dyDescent="0.3">
      <c r="A11" s="24"/>
      <c r="B11" s="24"/>
      <c r="C11" s="8">
        <v>2020</v>
      </c>
      <c r="D11" s="9">
        <v>8752066</v>
      </c>
      <c r="E11" s="9">
        <v>2440959</v>
      </c>
      <c r="F11" s="13">
        <f t="shared" si="0"/>
        <v>0.27890089037262744</v>
      </c>
    </row>
    <row r="12" spans="1:6" x14ac:dyDescent="0.3">
      <c r="A12" s="24"/>
      <c r="B12" s="24"/>
      <c r="C12" s="8">
        <v>2021</v>
      </c>
      <c r="D12" s="9">
        <v>11229695</v>
      </c>
      <c r="E12" s="9">
        <v>2440959</v>
      </c>
      <c r="F12" s="13">
        <f t="shared" si="0"/>
        <v>0.21736645563392415</v>
      </c>
    </row>
    <row r="13" spans="1:6" x14ac:dyDescent="0.3">
      <c r="A13" s="24"/>
      <c r="B13" s="24"/>
      <c r="C13" s="8">
        <v>2022</v>
      </c>
      <c r="D13" s="9">
        <v>9192569</v>
      </c>
      <c r="E13" s="9">
        <v>2440959</v>
      </c>
      <c r="F13" s="13">
        <f t="shared" si="0"/>
        <v>0.265536108567692</v>
      </c>
    </row>
    <row r="14" spans="1:6" x14ac:dyDescent="0.3">
      <c r="A14" s="24">
        <v>3</v>
      </c>
      <c r="B14" s="24" t="s">
        <v>8</v>
      </c>
      <c r="C14" s="8">
        <v>2018</v>
      </c>
      <c r="D14" s="4">
        <v>1760434280304</v>
      </c>
      <c r="E14" s="4">
        <v>603684892575</v>
      </c>
      <c r="F14" s="13">
        <f t="shared" si="0"/>
        <v>0.3429181647557743</v>
      </c>
    </row>
    <row r="15" spans="1:6" x14ac:dyDescent="0.3">
      <c r="A15" s="24"/>
      <c r="B15" s="24"/>
      <c r="C15" s="8">
        <v>2019</v>
      </c>
      <c r="D15" s="9">
        <v>2051404206764</v>
      </c>
      <c r="E15" s="9">
        <v>648402292025</v>
      </c>
      <c r="F15" s="13">
        <f t="shared" si="0"/>
        <v>0.31607729470723184</v>
      </c>
    </row>
    <row r="16" spans="1:6" x14ac:dyDescent="0.3">
      <c r="A16" s="24"/>
      <c r="B16" s="24"/>
      <c r="C16" s="8">
        <v>2020</v>
      </c>
      <c r="D16" s="9">
        <v>2098168514645</v>
      </c>
      <c r="E16" s="9">
        <v>670760991750</v>
      </c>
      <c r="F16" s="13">
        <f t="shared" si="0"/>
        <v>0.31968880815251843</v>
      </c>
    </row>
    <row r="17" spans="1:6" x14ac:dyDescent="0.3">
      <c r="A17" s="24"/>
      <c r="B17" s="24"/>
      <c r="C17" s="8">
        <v>2021</v>
      </c>
      <c r="D17" s="9">
        <v>1211052647953</v>
      </c>
      <c r="E17" s="9">
        <v>1162652385700</v>
      </c>
      <c r="F17" s="13">
        <f t="shared" si="0"/>
        <v>0.96003455148311734</v>
      </c>
    </row>
    <row r="18" spans="1:6" x14ac:dyDescent="0.3">
      <c r="A18" s="24"/>
      <c r="B18" s="24"/>
      <c r="C18" s="8">
        <v>2022</v>
      </c>
      <c r="D18" s="9">
        <v>1970064538149</v>
      </c>
      <c r="E18" s="9">
        <v>469532694225</v>
      </c>
      <c r="F18" s="13">
        <f t="shared" si="0"/>
        <v>0.238333661224193</v>
      </c>
    </row>
    <row r="19" spans="1:6" x14ac:dyDescent="0.3">
      <c r="A19" s="24">
        <v>4</v>
      </c>
      <c r="B19" s="24" t="s">
        <v>9</v>
      </c>
      <c r="C19" s="8">
        <v>2018</v>
      </c>
      <c r="D19" s="9">
        <v>425481597110</v>
      </c>
      <c r="E19" s="9">
        <v>183082141237</v>
      </c>
      <c r="F19" s="13">
        <f t="shared" si="0"/>
        <v>0.43029391278153839</v>
      </c>
    </row>
    <row r="20" spans="1:6" x14ac:dyDescent="0.3">
      <c r="A20" s="24"/>
      <c r="B20" s="24"/>
      <c r="C20" s="8">
        <v>2019</v>
      </c>
      <c r="D20" s="9">
        <v>435766359480</v>
      </c>
      <c r="E20" s="9">
        <v>132379748022</v>
      </c>
      <c r="F20" s="13">
        <f t="shared" si="0"/>
        <v>0.30378606595508828</v>
      </c>
    </row>
    <row r="21" spans="1:6" x14ac:dyDescent="0.3">
      <c r="A21" s="24"/>
      <c r="B21" s="24"/>
      <c r="C21" s="8">
        <v>2020</v>
      </c>
      <c r="D21" s="9">
        <v>245103761907</v>
      </c>
      <c r="E21" s="9">
        <v>213786027325</v>
      </c>
      <c r="F21" s="13">
        <f t="shared" si="0"/>
        <v>0.87222662623235081</v>
      </c>
    </row>
    <row r="22" spans="1:6" x14ac:dyDescent="0.3">
      <c r="A22" s="24"/>
      <c r="B22" s="24"/>
      <c r="C22" s="8">
        <v>2021</v>
      </c>
      <c r="D22" s="9">
        <v>492637672186</v>
      </c>
      <c r="E22" s="9">
        <v>131923972638</v>
      </c>
      <c r="F22" s="13">
        <f t="shared" si="0"/>
        <v>0.2677910766600709</v>
      </c>
    </row>
    <row r="23" spans="1:6" x14ac:dyDescent="0.3">
      <c r="A23" s="24"/>
      <c r="B23" s="24"/>
      <c r="C23" s="8">
        <v>2022</v>
      </c>
      <c r="D23" s="9">
        <v>521714035585</v>
      </c>
      <c r="E23" s="9">
        <v>221508548952</v>
      </c>
      <c r="F23" s="13">
        <f t="shared" si="0"/>
        <v>0.4245784737296201</v>
      </c>
    </row>
    <row r="24" spans="1:6" x14ac:dyDescent="0.3">
      <c r="A24" s="24">
        <v>5</v>
      </c>
      <c r="B24" s="24" t="s">
        <v>10</v>
      </c>
      <c r="C24" s="8">
        <v>2018</v>
      </c>
      <c r="D24" s="9">
        <v>127171436363</v>
      </c>
      <c r="E24" s="9">
        <v>36005365328</v>
      </c>
      <c r="F24" s="13">
        <f t="shared" si="0"/>
        <v>0.28312462576286201</v>
      </c>
    </row>
    <row r="25" spans="1:6" x14ac:dyDescent="0.3">
      <c r="A25" s="24"/>
      <c r="B25" s="24"/>
      <c r="C25" s="8">
        <v>2019</v>
      </c>
      <c r="D25" s="9">
        <v>236518557420</v>
      </c>
      <c r="E25" s="9">
        <v>59724779679</v>
      </c>
      <c r="F25" s="13">
        <f t="shared" si="0"/>
        <v>0.25251625213045409</v>
      </c>
    </row>
    <row r="26" spans="1:6" x14ac:dyDescent="0.3">
      <c r="A26" s="24"/>
      <c r="B26" s="24"/>
      <c r="C26" s="8">
        <v>2020</v>
      </c>
      <c r="D26" s="9">
        <v>168610282478</v>
      </c>
      <c r="E26" s="9">
        <v>149528741987</v>
      </c>
      <c r="F26" s="13">
        <f t="shared" si="0"/>
        <v>0.88683050517106077</v>
      </c>
    </row>
    <row r="27" spans="1:6" x14ac:dyDescent="0.3">
      <c r="A27" s="24"/>
      <c r="B27" s="24"/>
      <c r="C27" s="8">
        <v>2021</v>
      </c>
      <c r="D27" s="9">
        <v>283602993676</v>
      </c>
      <c r="E27" s="9">
        <v>297289648543</v>
      </c>
      <c r="F27" s="13">
        <f t="shared" si="0"/>
        <v>1.0482599097054532</v>
      </c>
    </row>
    <row r="28" spans="1:6" x14ac:dyDescent="0.3">
      <c r="A28" s="24"/>
      <c r="B28" s="24"/>
      <c r="C28" s="8">
        <v>2022</v>
      </c>
      <c r="D28" s="9">
        <v>432247722254</v>
      </c>
      <c r="E28" s="9">
        <v>346139578657</v>
      </c>
      <c r="F28" s="13">
        <f t="shared" si="0"/>
        <v>0.80078982684285693</v>
      </c>
    </row>
    <row r="29" spans="1:6" x14ac:dyDescent="0.3">
      <c r="A29" s="24">
        <v>6</v>
      </c>
      <c r="B29" s="24" t="s">
        <v>11</v>
      </c>
      <c r="C29" s="8">
        <v>2018</v>
      </c>
      <c r="D29" s="9">
        <v>338129985</v>
      </c>
      <c r="E29" s="9">
        <v>208171353</v>
      </c>
      <c r="F29" s="13">
        <f t="shared" si="0"/>
        <v>0.6156548139319854</v>
      </c>
    </row>
    <row r="30" spans="1:6" x14ac:dyDescent="0.3">
      <c r="A30" s="24"/>
      <c r="B30" s="24"/>
      <c r="C30" s="8">
        <v>2019</v>
      </c>
      <c r="D30" s="9">
        <v>317815177</v>
      </c>
      <c r="E30" s="9">
        <v>382134244</v>
      </c>
      <c r="F30" s="13">
        <f t="shared" si="0"/>
        <v>1.20237884045418</v>
      </c>
    </row>
    <row r="31" spans="1:6" x14ac:dyDescent="0.3">
      <c r="A31" s="24"/>
      <c r="B31" s="24"/>
      <c r="C31" s="8">
        <v>2020</v>
      </c>
      <c r="D31" s="9">
        <v>123465762</v>
      </c>
      <c r="E31" s="9">
        <v>311711537</v>
      </c>
      <c r="F31" s="13">
        <f t="shared" si="0"/>
        <v>2.5246799756518734</v>
      </c>
    </row>
    <row r="32" spans="1:6" x14ac:dyDescent="0.3">
      <c r="A32" s="24"/>
      <c r="B32" s="24"/>
      <c r="C32" s="8">
        <v>2021</v>
      </c>
      <c r="D32" s="9">
        <v>187992998</v>
      </c>
      <c r="E32" s="9">
        <v>199764743</v>
      </c>
      <c r="F32" s="13">
        <f t="shared" si="0"/>
        <v>1.0626179970809337</v>
      </c>
    </row>
    <row r="33" spans="1:6" x14ac:dyDescent="0.3">
      <c r="A33" s="24"/>
      <c r="B33" s="24"/>
      <c r="C33" s="8">
        <v>2022</v>
      </c>
      <c r="D33" s="9">
        <v>230065807</v>
      </c>
      <c r="E33" s="9">
        <v>239785159</v>
      </c>
      <c r="F33" s="13">
        <f t="shared" si="0"/>
        <v>1.0422459648686517</v>
      </c>
    </row>
    <row r="34" spans="1:6" x14ac:dyDescent="0.3">
      <c r="A34" s="24">
        <v>7</v>
      </c>
      <c r="B34" s="21" t="s">
        <v>12</v>
      </c>
      <c r="C34" s="8">
        <v>2018</v>
      </c>
      <c r="D34" s="4">
        <v>31954131252</v>
      </c>
      <c r="E34" s="4">
        <v>4351665150</v>
      </c>
      <c r="F34" s="13">
        <f t="shared" si="0"/>
        <v>0.13618474292671093</v>
      </c>
    </row>
    <row r="35" spans="1:6" x14ac:dyDescent="0.3">
      <c r="A35" s="24"/>
      <c r="B35" s="22"/>
      <c r="C35" s="8">
        <v>2019</v>
      </c>
      <c r="D35" s="9">
        <v>44943627900</v>
      </c>
      <c r="E35" s="9">
        <v>5594998050</v>
      </c>
      <c r="F35" s="13">
        <f t="shared" si="0"/>
        <v>0.12448923932996517</v>
      </c>
    </row>
    <row r="36" spans="1:6" x14ac:dyDescent="0.3">
      <c r="A36" s="24"/>
      <c r="B36" s="22"/>
      <c r="C36" s="8">
        <v>2020</v>
      </c>
      <c r="D36" s="9">
        <v>42520246722</v>
      </c>
      <c r="E36" s="9">
        <v>9324996750</v>
      </c>
      <c r="F36" s="13">
        <f t="shared" si="0"/>
        <v>0.21930721171416068</v>
      </c>
    </row>
    <row r="37" spans="1:6" x14ac:dyDescent="0.3">
      <c r="A37" s="24"/>
      <c r="B37" s="22"/>
      <c r="C37" s="8">
        <v>2021</v>
      </c>
      <c r="D37" s="10">
        <v>84524160228</v>
      </c>
      <c r="E37" s="9">
        <v>9324996750</v>
      </c>
      <c r="F37" s="13">
        <f t="shared" si="0"/>
        <v>0.11032344745982987</v>
      </c>
    </row>
    <row r="38" spans="1:6" x14ac:dyDescent="0.3">
      <c r="A38" s="24"/>
      <c r="B38" s="23"/>
      <c r="C38" s="8">
        <v>2022</v>
      </c>
      <c r="D38" s="10">
        <v>74865302076</v>
      </c>
      <c r="E38" s="9">
        <v>29841405600</v>
      </c>
      <c r="F38" s="13">
        <f t="shared" si="0"/>
        <v>0.39860128487435076</v>
      </c>
    </row>
    <row r="39" spans="1:6" x14ac:dyDescent="0.3">
      <c r="A39" s="24">
        <v>8</v>
      </c>
      <c r="B39" s="24" t="s">
        <v>13</v>
      </c>
      <c r="C39" s="8">
        <v>2018</v>
      </c>
      <c r="D39" s="4">
        <v>92649656775</v>
      </c>
      <c r="E39" s="9">
        <v>59500000000</v>
      </c>
      <c r="F39" s="13">
        <f t="shared" si="0"/>
        <v>0.64220421392921023</v>
      </c>
    </row>
    <row r="40" spans="1:6" x14ac:dyDescent="0.3">
      <c r="A40" s="24"/>
      <c r="B40" s="24"/>
      <c r="C40" s="8">
        <v>2019</v>
      </c>
      <c r="D40" s="9">
        <v>215459200242</v>
      </c>
      <c r="E40" s="9">
        <v>59500000000</v>
      </c>
      <c r="F40" s="13">
        <f t="shared" si="0"/>
        <v>0.27615437137597576</v>
      </c>
    </row>
    <row r="41" spans="1:6" x14ac:dyDescent="0.3">
      <c r="A41" s="24"/>
      <c r="B41" s="24"/>
      <c r="C41" s="8">
        <v>2020</v>
      </c>
      <c r="D41" s="9">
        <v>181812593992</v>
      </c>
      <c r="E41" s="9">
        <v>59500000000</v>
      </c>
      <c r="F41" s="13">
        <f t="shared" si="0"/>
        <v>0.32726005769775268</v>
      </c>
    </row>
    <row r="42" spans="1:6" x14ac:dyDescent="0.3">
      <c r="A42" s="24"/>
      <c r="B42" s="24"/>
      <c r="C42" s="8">
        <v>2021</v>
      </c>
      <c r="D42" s="9">
        <v>187066990085</v>
      </c>
      <c r="E42" s="9">
        <v>59500000000</v>
      </c>
      <c r="F42" s="13">
        <f t="shared" si="0"/>
        <v>0.31806787489852822</v>
      </c>
    </row>
    <row r="43" spans="1:6" x14ac:dyDescent="0.3">
      <c r="A43" s="24"/>
      <c r="B43" s="24"/>
      <c r="C43" s="8">
        <v>2022</v>
      </c>
      <c r="D43" s="9">
        <v>220704543072</v>
      </c>
      <c r="E43" s="9">
        <v>59500000000</v>
      </c>
      <c r="F43" s="13">
        <f t="shared" si="0"/>
        <v>0.26959118816412148</v>
      </c>
    </row>
    <row r="44" spans="1:6" x14ac:dyDescent="0.3">
      <c r="A44" s="24">
        <v>9</v>
      </c>
      <c r="B44" s="24" t="s">
        <v>14</v>
      </c>
      <c r="C44" s="8">
        <v>2018</v>
      </c>
      <c r="D44" s="9">
        <v>50467</v>
      </c>
      <c r="E44" s="9">
        <v>17996</v>
      </c>
      <c r="F44" s="13">
        <f t="shared" si="0"/>
        <v>0.35658945449501656</v>
      </c>
    </row>
    <row r="45" spans="1:6" x14ac:dyDescent="0.3">
      <c r="A45" s="24"/>
      <c r="B45" s="24"/>
      <c r="C45" s="8">
        <v>2019</v>
      </c>
      <c r="D45" s="9">
        <v>64021</v>
      </c>
      <c r="E45" s="9">
        <v>22495</v>
      </c>
      <c r="F45" s="13">
        <f t="shared" si="0"/>
        <v>0.3513690820199622</v>
      </c>
    </row>
    <row r="46" spans="1:6" x14ac:dyDescent="0.3">
      <c r="A46" s="24"/>
      <c r="B46" s="24"/>
      <c r="C46" s="8">
        <v>2020</v>
      </c>
      <c r="D46" s="9">
        <v>67093</v>
      </c>
      <c r="E46" s="9">
        <v>26994</v>
      </c>
      <c r="F46" s="13">
        <f t="shared" si="0"/>
        <v>0.40233705453624075</v>
      </c>
    </row>
    <row r="47" spans="1:6" x14ac:dyDescent="0.3">
      <c r="A47" s="24"/>
      <c r="B47" s="24"/>
      <c r="C47" s="8">
        <v>2021</v>
      </c>
      <c r="D47" s="9">
        <v>91723</v>
      </c>
      <c r="E47" s="9">
        <v>26994</v>
      </c>
      <c r="F47" s="13">
        <f t="shared" si="0"/>
        <v>0.29429913980135841</v>
      </c>
    </row>
    <row r="48" spans="1:6" x14ac:dyDescent="0.3">
      <c r="A48" s="24"/>
      <c r="B48" s="24"/>
      <c r="C48" s="8">
        <v>2022</v>
      </c>
      <c r="D48" s="9">
        <v>93065</v>
      </c>
      <c r="E48" s="9">
        <v>35992</v>
      </c>
      <c r="F48" s="13">
        <f t="shared" si="0"/>
        <v>0.38674045022296244</v>
      </c>
    </row>
    <row r="49" spans="1:6" x14ac:dyDescent="0.3">
      <c r="A49" s="24">
        <v>10</v>
      </c>
      <c r="B49" s="21" t="s">
        <v>15</v>
      </c>
      <c r="C49" s="8">
        <v>2018</v>
      </c>
      <c r="D49" s="9">
        <v>90195136265</v>
      </c>
      <c r="E49" s="4">
        <v>14200138260</v>
      </c>
      <c r="F49" s="13">
        <f t="shared" si="0"/>
        <v>0.15743796005007343</v>
      </c>
    </row>
    <row r="50" spans="1:6" x14ac:dyDescent="0.3">
      <c r="A50" s="24"/>
      <c r="B50" s="22"/>
      <c r="C50" s="8">
        <v>2019</v>
      </c>
      <c r="D50" s="9">
        <v>103723133972</v>
      </c>
      <c r="E50" s="9">
        <v>26140929100</v>
      </c>
      <c r="F50" s="13">
        <f t="shared" si="0"/>
        <v>0.25202602446486749</v>
      </c>
    </row>
    <row r="51" spans="1:6" x14ac:dyDescent="0.3">
      <c r="A51" s="24"/>
      <c r="B51" s="22"/>
      <c r="C51" s="8">
        <v>2020</v>
      </c>
      <c r="D51" s="9">
        <v>38038419405</v>
      </c>
      <c r="E51" s="9">
        <v>28635668400</v>
      </c>
      <c r="F51" s="13">
        <f t="shared" si="0"/>
        <v>0.75280910321515504</v>
      </c>
    </row>
    <row r="52" spans="1:6" x14ac:dyDescent="0.3">
      <c r="A52" s="24"/>
      <c r="B52" s="22"/>
      <c r="C52" s="8">
        <v>2021</v>
      </c>
      <c r="D52" s="10">
        <v>11844682161</v>
      </c>
      <c r="E52" s="9">
        <v>9677752680</v>
      </c>
      <c r="F52" s="13">
        <f t="shared" si="0"/>
        <v>0.81705465359510709</v>
      </c>
    </row>
    <row r="53" spans="1:6" x14ac:dyDescent="0.3">
      <c r="A53" s="24"/>
      <c r="B53" s="23"/>
      <c r="C53" s="8">
        <v>2022</v>
      </c>
      <c r="D53" s="10">
        <v>90572477</v>
      </c>
      <c r="E53" s="9">
        <v>9677752680</v>
      </c>
      <c r="F53" s="13">
        <f t="shared" si="0"/>
        <v>106.85092205218149</v>
      </c>
    </row>
  </sheetData>
  <mergeCells count="20">
    <mergeCell ref="A49:A53"/>
    <mergeCell ref="B49:B53"/>
    <mergeCell ref="A34:A38"/>
    <mergeCell ref="B34:B38"/>
    <mergeCell ref="A39:A43"/>
    <mergeCell ref="B39:B43"/>
    <mergeCell ref="A44:A48"/>
    <mergeCell ref="B44:B48"/>
    <mergeCell ref="A19:A23"/>
    <mergeCell ref="B19:B23"/>
    <mergeCell ref="A24:A28"/>
    <mergeCell ref="B24:B28"/>
    <mergeCell ref="A29:A33"/>
    <mergeCell ref="B29:B33"/>
    <mergeCell ref="A4:A8"/>
    <mergeCell ref="B4:B8"/>
    <mergeCell ref="A9:A13"/>
    <mergeCell ref="B9:B13"/>
    <mergeCell ref="A14:A18"/>
    <mergeCell ref="B14:B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3"/>
  <sheetViews>
    <sheetView workbookViewId="0">
      <selection activeCell="F9" sqref="F9"/>
    </sheetView>
  </sheetViews>
  <sheetFormatPr defaultColWidth="9.1796875" defaultRowHeight="14" x14ac:dyDescent="0.3"/>
  <cols>
    <col min="1" max="1" width="5.1796875" style="11" customWidth="1"/>
    <col min="2" max="2" width="9.1796875" style="11" customWidth="1"/>
    <col min="3" max="3" width="9.1796875" style="11"/>
    <col min="4" max="4" width="28.453125" style="11" bestFit="1" customWidth="1"/>
    <col min="5" max="5" width="35" style="11" bestFit="1" customWidth="1"/>
    <col min="6" max="6" width="15.1796875" style="11" bestFit="1" customWidth="1"/>
    <col min="7" max="16384" width="9.1796875" style="11"/>
  </cols>
  <sheetData>
    <row r="1" spans="1:6" x14ac:dyDescent="0.3">
      <c r="A1" s="14" t="s">
        <v>24</v>
      </c>
    </row>
    <row r="3" spans="1:6" x14ac:dyDescent="0.3">
      <c r="A3" s="6" t="s">
        <v>0</v>
      </c>
      <c r="B3" s="6" t="s">
        <v>1</v>
      </c>
      <c r="C3" s="6" t="s">
        <v>3</v>
      </c>
      <c r="D3" s="7" t="s">
        <v>20</v>
      </c>
      <c r="E3" s="7" t="s">
        <v>21</v>
      </c>
      <c r="F3" s="7" t="s">
        <v>24</v>
      </c>
    </row>
    <row r="4" spans="1:6" x14ac:dyDescent="0.3">
      <c r="A4" s="24">
        <v>1</v>
      </c>
      <c r="B4" s="24" t="s">
        <v>6</v>
      </c>
      <c r="C4" s="8">
        <v>2018</v>
      </c>
      <c r="D4" s="4">
        <v>14121568</v>
      </c>
      <c r="E4" s="4">
        <v>7235398</v>
      </c>
      <c r="F4" s="13">
        <f>D4/E4</f>
        <v>1.951733408445534</v>
      </c>
    </row>
    <row r="5" spans="1:6" x14ac:dyDescent="0.3">
      <c r="A5" s="24"/>
      <c r="B5" s="24"/>
      <c r="C5" s="8">
        <v>2019</v>
      </c>
      <c r="D5" s="9">
        <v>16624925</v>
      </c>
      <c r="E5" s="9">
        <v>6556359</v>
      </c>
      <c r="F5" s="13">
        <f t="shared" ref="F5:F53" si="0">D5/E5</f>
        <v>2.5356947354469148</v>
      </c>
    </row>
    <row r="6" spans="1:6" x14ac:dyDescent="0.3">
      <c r="A6" s="24"/>
      <c r="B6" s="24"/>
      <c r="C6" s="8">
        <v>2020</v>
      </c>
      <c r="D6" s="9">
        <v>20716223</v>
      </c>
      <c r="E6" s="9">
        <v>9176164</v>
      </c>
      <c r="F6" s="13">
        <f t="shared" si="0"/>
        <v>2.257612549209016</v>
      </c>
    </row>
    <row r="7" spans="1:6" x14ac:dyDescent="0.3">
      <c r="A7" s="24"/>
      <c r="B7" s="24"/>
      <c r="C7" s="8">
        <v>2021</v>
      </c>
      <c r="D7" s="9">
        <v>33997637</v>
      </c>
      <c r="E7" s="9">
        <v>18896133</v>
      </c>
      <c r="F7" s="13">
        <f t="shared" si="0"/>
        <v>1.7991848914272566</v>
      </c>
    </row>
    <row r="8" spans="1:6" x14ac:dyDescent="0.3">
      <c r="A8" s="24"/>
      <c r="B8" s="24"/>
      <c r="C8" s="8">
        <v>2022</v>
      </c>
      <c r="D8" s="9">
        <v>31070365</v>
      </c>
      <c r="E8" s="9">
        <v>10033935</v>
      </c>
      <c r="F8" s="13">
        <f t="shared" si="0"/>
        <v>3.0965284307701815</v>
      </c>
    </row>
    <row r="9" spans="1:6" x14ac:dyDescent="0.3">
      <c r="A9" s="24">
        <v>2</v>
      </c>
      <c r="B9" s="24" t="s">
        <v>7</v>
      </c>
      <c r="C9" s="8">
        <v>2018</v>
      </c>
      <c r="D9" s="4">
        <v>33272618</v>
      </c>
      <c r="E9" s="9">
        <v>31204102</v>
      </c>
      <c r="F9" s="13">
        <f>D9/E9</f>
        <v>1.0662898743248563</v>
      </c>
    </row>
    <row r="10" spans="1:6" x14ac:dyDescent="0.3">
      <c r="A10" s="24"/>
      <c r="B10" s="24"/>
      <c r="C10" s="8">
        <v>2019</v>
      </c>
      <c r="D10" s="9">
        <v>31403445</v>
      </c>
      <c r="E10" s="9">
        <v>24686862</v>
      </c>
      <c r="F10" s="13">
        <f t="shared" si="0"/>
        <v>1.2720711526641175</v>
      </c>
    </row>
    <row r="11" spans="1:6" x14ac:dyDescent="0.3">
      <c r="A11" s="24"/>
      <c r="B11" s="24"/>
      <c r="C11" s="8">
        <v>2020</v>
      </c>
      <c r="D11" s="9">
        <v>38418238</v>
      </c>
      <c r="E11" s="9">
        <v>27975875</v>
      </c>
      <c r="F11" s="13">
        <f t="shared" si="0"/>
        <v>1.3732631419035151</v>
      </c>
    </row>
    <row r="12" spans="1:6" x14ac:dyDescent="0.3">
      <c r="A12" s="24"/>
      <c r="B12" s="24"/>
      <c r="C12" s="8">
        <v>2021</v>
      </c>
      <c r="D12" s="9">
        <v>54183399</v>
      </c>
      <c r="E12" s="9">
        <v>40403404</v>
      </c>
      <c r="F12" s="13">
        <f t="shared" si="0"/>
        <v>1.3410602482899707</v>
      </c>
    </row>
    <row r="13" spans="1:6" x14ac:dyDescent="0.3">
      <c r="A13" s="24"/>
      <c r="B13" s="24"/>
      <c r="C13" s="8">
        <v>2022</v>
      </c>
      <c r="D13" s="9">
        <v>54876668</v>
      </c>
      <c r="E13" s="9">
        <v>30725942</v>
      </c>
      <c r="F13" s="13">
        <f t="shared" si="0"/>
        <v>1.7860044128183279</v>
      </c>
    </row>
    <row r="14" spans="1:6" x14ac:dyDescent="0.3">
      <c r="A14" s="24">
        <v>3</v>
      </c>
      <c r="B14" s="24" t="s">
        <v>8</v>
      </c>
      <c r="C14" s="8">
        <v>2018</v>
      </c>
      <c r="D14" s="4">
        <v>12647858727872</v>
      </c>
      <c r="E14" s="4">
        <v>4764510387113</v>
      </c>
      <c r="F14" s="13">
        <f t="shared" si="0"/>
        <v>2.6545977866019146</v>
      </c>
    </row>
    <row r="15" spans="1:6" x14ac:dyDescent="0.3">
      <c r="A15" s="24"/>
      <c r="B15" s="24"/>
      <c r="C15" s="8">
        <v>2019</v>
      </c>
      <c r="D15" s="9">
        <v>12776102781513</v>
      </c>
      <c r="E15" s="9">
        <v>3714359539201</v>
      </c>
      <c r="F15" s="13">
        <f t="shared" si="0"/>
        <v>3.4396516133333934</v>
      </c>
    </row>
    <row r="16" spans="1:6" x14ac:dyDescent="0.3">
      <c r="A16" s="24"/>
      <c r="B16" s="24"/>
      <c r="C16" s="8">
        <v>2020</v>
      </c>
      <c r="D16" s="9">
        <v>12838729162094</v>
      </c>
      <c r="E16" s="9">
        <v>3475323711943</v>
      </c>
      <c r="F16" s="13">
        <f t="shared" si="0"/>
        <v>3.6942541835667053</v>
      </c>
    </row>
    <row r="17" spans="1:6" x14ac:dyDescent="0.3">
      <c r="A17" s="24"/>
      <c r="B17" s="24"/>
      <c r="C17" s="8">
        <v>2021</v>
      </c>
      <c r="D17" s="9">
        <v>12969783874643</v>
      </c>
      <c r="E17" s="9">
        <v>5570773468770</v>
      </c>
      <c r="F17" s="13">
        <f t="shared" si="0"/>
        <v>2.3281836799417848</v>
      </c>
    </row>
    <row r="18" spans="1:6" x14ac:dyDescent="0.3">
      <c r="A18" s="24"/>
      <c r="B18" s="24"/>
      <c r="C18" s="8">
        <v>2022</v>
      </c>
      <c r="D18" s="9">
        <v>14772623976128</v>
      </c>
      <c r="E18" s="9">
        <v>5636627301308</v>
      </c>
      <c r="F18" s="13">
        <f t="shared" si="0"/>
        <v>2.6208268147691722</v>
      </c>
    </row>
    <row r="19" spans="1:6" x14ac:dyDescent="0.3">
      <c r="A19" s="24">
        <v>4</v>
      </c>
      <c r="B19" s="24" t="s">
        <v>9</v>
      </c>
      <c r="C19" s="8">
        <v>2018</v>
      </c>
      <c r="D19" s="9">
        <v>1570545769306</v>
      </c>
      <c r="E19" s="9">
        <v>1328163043500</v>
      </c>
      <c r="F19" s="13">
        <f t="shared" si="0"/>
        <v>1.1824947072516552</v>
      </c>
    </row>
    <row r="20" spans="1:6" x14ac:dyDescent="0.3">
      <c r="A20" s="24"/>
      <c r="B20" s="24"/>
      <c r="C20" s="8">
        <v>2019</v>
      </c>
      <c r="D20" s="9">
        <v>1999886108743</v>
      </c>
      <c r="E20" s="9">
        <v>1303881731637</v>
      </c>
      <c r="F20" s="13">
        <f t="shared" si="0"/>
        <v>1.5337941012734178</v>
      </c>
    </row>
    <row r="21" spans="1:6" x14ac:dyDescent="0.3">
      <c r="A21" s="24"/>
      <c r="B21" s="24"/>
      <c r="C21" s="8">
        <v>2020</v>
      </c>
      <c r="D21" s="9">
        <v>2314323530275</v>
      </c>
      <c r="E21" s="9">
        <v>1321529767664</v>
      </c>
      <c r="F21" s="13">
        <f t="shared" si="0"/>
        <v>1.7512458568117693</v>
      </c>
    </row>
    <row r="22" spans="1:6" x14ac:dyDescent="0.3">
      <c r="A22" s="24"/>
      <c r="B22" s="24"/>
      <c r="C22" s="8">
        <v>2021</v>
      </c>
      <c r="D22" s="9">
        <v>2613436417820</v>
      </c>
      <c r="E22" s="9">
        <v>1771339531925</v>
      </c>
      <c r="F22" s="13">
        <f t="shared" si="0"/>
        <v>1.475401169972113</v>
      </c>
    </row>
    <row r="23" spans="1:6" x14ac:dyDescent="0.3">
      <c r="A23" s="24"/>
      <c r="B23" s="24"/>
      <c r="C23" s="8">
        <v>2022</v>
      </c>
      <c r="D23" s="9">
        <v>3194327374948</v>
      </c>
      <c r="E23" s="9">
        <v>1835096804319</v>
      </c>
      <c r="F23" s="13">
        <f t="shared" si="0"/>
        <v>1.7406860321646123</v>
      </c>
    </row>
    <row r="24" spans="1:6" x14ac:dyDescent="0.3">
      <c r="A24" s="24">
        <v>5</v>
      </c>
      <c r="B24" s="24" t="s">
        <v>10</v>
      </c>
      <c r="C24" s="8">
        <v>2018</v>
      </c>
      <c r="D24" s="9">
        <v>1876409299238</v>
      </c>
      <c r="E24" s="9">
        <v>525422150049</v>
      </c>
      <c r="F24" s="13">
        <f t="shared" si="0"/>
        <v>3.5712413324466987</v>
      </c>
    </row>
    <row r="25" spans="1:6" x14ac:dyDescent="0.3">
      <c r="A25" s="24"/>
      <c r="B25" s="24"/>
      <c r="C25" s="8">
        <v>2019</v>
      </c>
      <c r="D25" s="9">
        <v>1874411044438</v>
      </c>
      <c r="E25" s="9">
        <v>1106938318565</v>
      </c>
      <c r="F25" s="13">
        <f t="shared" si="0"/>
        <v>1.6933292605390402</v>
      </c>
    </row>
    <row r="26" spans="1:6" x14ac:dyDescent="0.3">
      <c r="A26" s="24"/>
      <c r="B26" s="24"/>
      <c r="C26" s="8">
        <v>2020</v>
      </c>
      <c r="D26" s="9">
        <v>1549617329468</v>
      </c>
      <c r="E26" s="9">
        <v>404567270700</v>
      </c>
      <c r="F26" s="13">
        <f t="shared" si="0"/>
        <v>3.8303081877750129</v>
      </c>
    </row>
    <row r="27" spans="1:6" x14ac:dyDescent="0.3">
      <c r="A27" s="24"/>
      <c r="B27" s="24"/>
      <c r="C27" s="8">
        <v>2021</v>
      </c>
      <c r="D27" s="9">
        <v>1282057210341</v>
      </c>
      <c r="E27" s="9">
        <v>483213195704</v>
      </c>
      <c r="F27" s="13">
        <f t="shared" si="0"/>
        <v>2.6531916382646652</v>
      </c>
    </row>
    <row r="28" spans="1:6" x14ac:dyDescent="0.3">
      <c r="A28" s="24"/>
      <c r="B28" s="24"/>
      <c r="C28" s="8">
        <v>2022</v>
      </c>
      <c r="D28" s="9">
        <v>1285672230703</v>
      </c>
      <c r="E28" s="9">
        <v>612417576293</v>
      </c>
      <c r="F28" s="13">
        <f t="shared" si="0"/>
        <v>2.0993392098333468</v>
      </c>
    </row>
    <row r="29" spans="1:6" x14ac:dyDescent="0.3">
      <c r="A29" s="24">
        <v>6</v>
      </c>
      <c r="B29" s="24" t="s">
        <v>11</v>
      </c>
      <c r="C29" s="8">
        <v>2018</v>
      </c>
      <c r="D29" s="9">
        <v>1384227944</v>
      </c>
      <c r="E29" s="9">
        <v>192299843</v>
      </c>
      <c r="F29" s="13">
        <f t="shared" si="0"/>
        <v>7.1982791166397364</v>
      </c>
    </row>
    <row r="30" spans="1:6" x14ac:dyDescent="0.3">
      <c r="A30" s="24"/>
      <c r="B30" s="24"/>
      <c r="C30" s="8">
        <v>2019</v>
      </c>
      <c r="D30" s="9">
        <v>1292805083</v>
      </c>
      <c r="E30" s="9">
        <v>160587363</v>
      </c>
      <c r="F30" s="13">
        <f t="shared" si="0"/>
        <v>8.0504783119204717</v>
      </c>
    </row>
    <row r="31" spans="1:6" x14ac:dyDescent="0.3">
      <c r="A31" s="24"/>
      <c r="B31" s="24"/>
      <c r="C31" s="8">
        <v>2020</v>
      </c>
      <c r="D31" s="9">
        <v>1103831856</v>
      </c>
      <c r="E31" s="9">
        <v>147207676</v>
      </c>
      <c r="F31" s="13">
        <f t="shared" si="0"/>
        <v>7.4984666968045879</v>
      </c>
    </row>
    <row r="32" spans="1:6" x14ac:dyDescent="0.3">
      <c r="A32" s="24"/>
      <c r="B32" s="24"/>
      <c r="C32" s="8">
        <v>2021</v>
      </c>
      <c r="D32" s="9">
        <v>1174393432</v>
      </c>
      <c r="E32" s="9">
        <v>244206806</v>
      </c>
      <c r="F32" s="13">
        <f t="shared" si="0"/>
        <v>4.8090118831495632</v>
      </c>
    </row>
    <row r="33" spans="1:6" x14ac:dyDescent="0.3">
      <c r="A33" s="24"/>
      <c r="B33" s="24"/>
      <c r="C33" s="8">
        <v>2022</v>
      </c>
      <c r="D33" s="9">
        <v>1165412820</v>
      </c>
      <c r="E33" s="9">
        <v>255354186</v>
      </c>
      <c r="F33" s="13">
        <f t="shared" si="0"/>
        <v>4.5639072468543747</v>
      </c>
    </row>
    <row r="34" spans="1:6" x14ac:dyDescent="0.3">
      <c r="A34" s="24">
        <v>7</v>
      </c>
      <c r="B34" s="21" t="s">
        <v>12</v>
      </c>
      <c r="C34" s="8">
        <v>2018</v>
      </c>
      <c r="D34" s="4">
        <v>356735670030</v>
      </c>
      <c r="E34" s="4">
        <v>291349105535</v>
      </c>
      <c r="F34" s="13">
        <f t="shared" si="0"/>
        <v>1.2244268585446028</v>
      </c>
    </row>
    <row r="35" spans="1:6" x14ac:dyDescent="0.3">
      <c r="A35" s="24"/>
      <c r="B35" s="22"/>
      <c r="C35" s="8">
        <v>2019</v>
      </c>
      <c r="D35" s="9">
        <v>378352247338</v>
      </c>
      <c r="E35" s="9">
        <v>293281364781</v>
      </c>
      <c r="F35" s="13">
        <f t="shared" si="0"/>
        <v>1.2900657620047711</v>
      </c>
    </row>
    <row r="36" spans="1:6" x14ac:dyDescent="0.3">
      <c r="A36" s="24"/>
      <c r="B36" s="22"/>
      <c r="C36" s="8">
        <v>2020</v>
      </c>
      <c r="D36" s="9">
        <v>379723220668</v>
      </c>
      <c r="E36" s="9">
        <v>247102759160</v>
      </c>
      <c r="F36" s="13">
        <f t="shared" si="0"/>
        <v>1.5367016619273268</v>
      </c>
    </row>
    <row r="37" spans="1:6" x14ac:dyDescent="0.3">
      <c r="A37" s="24"/>
      <c r="B37" s="22"/>
      <c r="C37" s="8">
        <v>2021</v>
      </c>
      <c r="D37" s="10">
        <v>433383441542</v>
      </c>
      <c r="E37" s="9">
        <v>241664687612</v>
      </c>
      <c r="F37" s="13">
        <f t="shared" si="0"/>
        <v>1.7933254784737531</v>
      </c>
    </row>
    <row r="38" spans="1:6" x14ac:dyDescent="0.3">
      <c r="A38" s="24"/>
      <c r="B38" s="23"/>
      <c r="C38" s="8">
        <v>2022</v>
      </c>
      <c r="D38" s="10">
        <v>543799195487</v>
      </c>
      <c r="E38" s="9">
        <v>333670108915</v>
      </c>
      <c r="F38" s="13">
        <f t="shared" si="0"/>
        <v>1.6297510054325208</v>
      </c>
    </row>
    <row r="39" spans="1:6" x14ac:dyDescent="0.3">
      <c r="A39" s="24">
        <v>8</v>
      </c>
      <c r="B39" s="24" t="s">
        <v>13</v>
      </c>
      <c r="C39" s="8">
        <v>2018</v>
      </c>
      <c r="D39" s="4">
        <v>809166450672</v>
      </c>
      <c r="E39" s="4">
        <v>158255592250</v>
      </c>
      <c r="F39" s="13">
        <f t="shared" si="0"/>
        <v>5.1130354331728203</v>
      </c>
    </row>
    <row r="40" spans="1:6" x14ac:dyDescent="0.3">
      <c r="A40" s="24"/>
      <c r="B40" s="24"/>
      <c r="C40" s="8">
        <v>2019</v>
      </c>
      <c r="D40" s="9">
        <v>1067652078121</v>
      </c>
      <c r="E40" s="9">
        <v>222440530626</v>
      </c>
      <c r="F40" s="13">
        <f t="shared" si="0"/>
        <v>4.7997191659108873</v>
      </c>
    </row>
    <row r="41" spans="1:6" x14ac:dyDescent="0.3">
      <c r="A41" s="24"/>
      <c r="B41" s="24"/>
      <c r="C41" s="8">
        <v>2020</v>
      </c>
      <c r="D41" s="9">
        <v>1266586465994</v>
      </c>
      <c r="E41" s="9">
        <v>271641005590</v>
      </c>
      <c r="F41" s="13">
        <f t="shared" si="0"/>
        <v>4.6627219010730503</v>
      </c>
    </row>
    <row r="42" spans="1:6" x14ac:dyDescent="0.3">
      <c r="A42" s="24"/>
      <c r="B42" s="24"/>
      <c r="C42" s="8">
        <v>2021</v>
      </c>
      <c r="D42" s="9">
        <v>1358085356038</v>
      </c>
      <c r="E42" s="9">
        <v>283104828760</v>
      </c>
      <c r="F42" s="13">
        <f t="shared" si="0"/>
        <v>4.797111239629567</v>
      </c>
    </row>
    <row r="43" spans="1:6" x14ac:dyDescent="0.3">
      <c r="A43" s="24"/>
      <c r="B43" s="24"/>
      <c r="C43" s="8">
        <v>2022</v>
      </c>
      <c r="D43" s="9">
        <v>1383998340429</v>
      </c>
      <c r="E43" s="9">
        <v>139037021213</v>
      </c>
      <c r="F43" s="13">
        <f t="shared" si="0"/>
        <v>9.9541714023688801</v>
      </c>
    </row>
    <row r="44" spans="1:6" x14ac:dyDescent="0.3">
      <c r="A44" s="24">
        <v>9</v>
      </c>
      <c r="B44" s="24" t="s">
        <v>14</v>
      </c>
      <c r="C44" s="8">
        <v>2018</v>
      </c>
      <c r="D44" s="9">
        <v>1472140</v>
      </c>
      <c r="E44" s="9">
        <v>1467508</v>
      </c>
      <c r="F44" s="13">
        <f t="shared" si="0"/>
        <v>1.0031563712088793</v>
      </c>
    </row>
    <row r="45" spans="1:6" x14ac:dyDescent="0.3">
      <c r="A45" s="24"/>
      <c r="B45" s="24"/>
      <c r="C45" s="8">
        <v>2019</v>
      </c>
      <c r="D45" s="9">
        <v>1141009</v>
      </c>
      <c r="E45" s="9">
        <v>1133685</v>
      </c>
      <c r="F45" s="13">
        <f t="shared" si="0"/>
        <v>1.0064603483330907</v>
      </c>
    </row>
    <row r="46" spans="1:6" x14ac:dyDescent="0.3">
      <c r="A46" s="24"/>
      <c r="B46" s="24"/>
      <c r="C46" s="8">
        <v>2020</v>
      </c>
      <c r="D46" s="9">
        <v>1241540</v>
      </c>
      <c r="E46" s="9">
        <v>1085439</v>
      </c>
      <c r="F46" s="13">
        <f t="shared" si="0"/>
        <v>1.1438137011844978</v>
      </c>
    </row>
    <row r="47" spans="1:6" x14ac:dyDescent="0.3">
      <c r="A47" s="24"/>
      <c r="B47" s="24"/>
      <c r="C47" s="8">
        <v>2021</v>
      </c>
      <c r="D47" s="9">
        <v>1320277</v>
      </c>
      <c r="E47" s="9">
        <v>1131686</v>
      </c>
      <c r="F47" s="13">
        <f t="shared" si="0"/>
        <v>1.1666460484622059</v>
      </c>
    </row>
    <row r="48" spans="1:6" x14ac:dyDescent="0.3">
      <c r="A48" s="24"/>
      <c r="B48" s="24"/>
      <c r="C48" s="8">
        <v>2022</v>
      </c>
      <c r="D48" s="9">
        <v>1582322</v>
      </c>
      <c r="E48" s="9">
        <v>1189965</v>
      </c>
      <c r="F48" s="13">
        <f t="shared" si="0"/>
        <v>1.3297214623959528</v>
      </c>
    </row>
    <row r="49" spans="1:6" x14ac:dyDescent="0.3">
      <c r="A49" s="24">
        <v>10</v>
      </c>
      <c r="B49" s="21" t="s">
        <v>15</v>
      </c>
      <c r="C49" s="8">
        <v>2018</v>
      </c>
      <c r="D49" s="9">
        <v>490747589782</v>
      </c>
      <c r="E49" s="4">
        <v>183224424681</v>
      </c>
      <c r="F49" s="13">
        <f t="shared" si="0"/>
        <v>2.6783961288807885</v>
      </c>
    </row>
    <row r="50" spans="1:6" x14ac:dyDescent="0.3">
      <c r="A50" s="24"/>
      <c r="B50" s="22"/>
      <c r="C50" s="8">
        <v>2019</v>
      </c>
      <c r="D50" s="9">
        <v>483422211591</v>
      </c>
      <c r="E50" s="9">
        <v>161901915986</v>
      </c>
      <c r="F50" s="13">
        <f t="shared" si="0"/>
        <v>2.985895556867916</v>
      </c>
    </row>
    <row r="51" spans="1:6" x14ac:dyDescent="0.3">
      <c r="A51" s="24"/>
      <c r="B51" s="22"/>
      <c r="C51" s="8">
        <v>2020</v>
      </c>
      <c r="D51" s="9">
        <v>423486192138</v>
      </c>
      <c r="E51" s="9">
        <v>188719266211</v>
      </c>
      <c r="F51" s="13">
        <f t="shared" si="0"/>
        <v>2.244000841252296</v>
      </c>
    </row>
    <row r="52" spans="1:6" x14ac:dyDescent="0.3">
      <c r="A52" s="24"/>
      <c r="B52" s="22"/>
      <c r="C52" s="8">
        <v>2021</v>
      </c>
      <c r="D52" s="10">
        <v>450325961390</v>
      </c>
      <c r="E52" s="9">
        <v>280958063589</v>
      </c>
      <c r="F52" s="13">
        <f t="shared" si="0"/>
        <v>1.602822697585075</v>
      </c>
    </row>
    <row r="53" spans="1:6" x14ac:dyDescent="0.3">
      <c r="A53" s="24"/>
      <c r="B53" s="23"/>
      <c r="C53" s="8">
        <v>2022</v>
      </c>
      <c r="D53" s="10">
        <v>389697575028</v>
      </c>
      <c r="E53" s="9">
        <v>119206775342</v>
      </c>
      <c r="F53" s="13">
        <f t="shared" si="0"/>
        <v>3.269089142877756</v>
      </c>
    </row>
  </sheetData>
  <mergeCells count="20">
    <mergeCell ref="A49:A53"/>
    <mergeCell ref="B49:B53"/>
    <mergeCell ref="A34:A38"/>
    <mergeCell ref="B34:B38"/>
    <mergeCell ref="A39:A43"/>
    <mergeCell ref="B39:B43"/>
    <mergeCell ref="A44:A48"/>
    <mergeCell ref="B44:B48"/>
    <mergeCell ref="A19:A23"/>
    <mergeCell ref="B19:B23"/>
    <mergeCell ref="A24:A28"/>
    <mergeCell ref="B24:B28"/>
    <mergeCell ref="A29:A33"/>
    <mergeCell ref="B29:B33"/>
    <mergeCell ref="A4:A8"/>
    <mergeCell ref="B4:B8"/>
    <mergeCell ref="A9:A13"/>
    <mergeCell ref="B9:B13"/>
    <mergeCell ref="A14:A18"/>
    <mergeCell ref="B14:B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"/>
  <sheetViews>
    <sheetView workbookViewId="0">
      <selection activeCell="F5" sqref="F5"/>
    </sheetView>
  </sheetViews>
  <sheetFormatPr defaultColWidth="9.1796875" defaultRowHeight="14" x14ac:dyDescent="0.3"/>
  <cols>
    <col min="1" max="1" width="5.1796875" style="11" customWidth="1"/>
    <col min="2" max="2" width="9.1796875" style="11" customWidth="1"/>
    <col min="3" max="3" width="9.1796875" style="11"/>
    <col min="4" max="4" width="17.54296875" style="11" bestFit="1" customWidth="1"/>
    <col min="5" max="5" width="24.26953125" style="11" bestFit="1" customWidth="1"/>
    <col min="6" max="16384" width="9.1796875" style="11"/>
  </cols>
  <sheetData>
    <row r="1" spans="1:5" x14ac:dyDescent="0.3">
      <c r="A1" s="14" t="s">
        <v>25</v>
      </c>
    </row>
    <row r="3" spans="1:5" x14ac:dyDescent="0.3">
      <c r="A3" s="6" t="s">
        <v>0</v>
      </c>
      <c r="B3" s="6" t="s">
        <v>1</v>
      </c>
      <c r="C3" s="6" t="s">
        <v>3</v>
      </c>
      <c r="D3" s="7" t="s">
        <v>5</v>
      </c>
      <c r="E3" s="7" t="s">
        <v>25</v>
      </c>
    </row>
    <row r="4" spans="1:5" x14ac:dyDescent="0.3">
      <c r="A4" s="24">
        <v>1</v>
      </c>
      <c r="B4" s="24" t="s">
        <v>6</v>
      </c>
      <c r="C4" s="8">
        <v>2018</v>
      </c>
      <c r="D4" s="16">
        <v>34367153</v>
      </c>
      <c r="E4" s="13">
        <f>LN(D4)</f>
        <v>17.352611811528359</v>
      </c>
    </row>
    <row r="5" spans="1:5" x14ac:dyDescent="0.3">
      <c r="A5" s="24"/>
      <c r="B5" s="24"/>
      <c r="C5" s="8">
        <v>2019</v>
      </c>
      <c r="D5" s="17">
        <v>38709314</v>
      </c>
      <c r="E5" s="13">
        <f t="shared" ref="E5:E53" si="0">LN(D5)</f>
        <v>17.471590800877816</v>
      </c>
    </row>
    <row r="6" spans="1:5" x14ac:dyDescent="0.3">
      <c r="A6" s="24"/>
      <c r="B6" s="24"/>
      <c r="C6" s="8">
        <v>2020</v>
      </c>
      <c r="D6" s="17">
        <v>103588325</v>
      </c>
      <c r="E6" s="13">
        <f>LN(D6)</f>
        <v>18.455935188389123</v>
      </c>
    </row>
    <row r="7" spans="1:5" x14ac:dyDescent="0.3">
      <c r="A7" s="24"/>
      <c r="B7" s="24"/>
      <c r="C7" s="8">
        <v>2021</v>
      </c>
      <c r="D7" s="17">
        <v>118015311</v>
      </c>
      <c r="E7" s="13">
        <f t="shared" si="0"/>
        <v>18.586324928249873</v>
      </c>
    </row>
    <row r="8" spans="1:5" x14ac:dyDescent="0.3">
      <c r="A8" s="24"/>
      <c r="B8" s="24"/>
      <c r="C8" s="8">
        <v>2022</v>
      </c>
      <c r="D8" s="17">
        <v>115305536</v>
      </c>
      <c r="E8" s="13">
        <f t="shared" si="0"/>
        <v>18.563095997963501</v>
      </c>
    </row>
    <row r="9" spans="1:5" x14ac:dyDescent="0.3">
      <c r="A9" s="24">
        <v>2</v>
      </c>
      <c r="B9" s="24" t="s">
        <v>7</v>
      </c>
      <c r="C9" s="8">
        <v>2018</v>
      </c>
      <c r="D9" s="16">
        <v>96537796</v>
      </c>
      <c r="E9" s="13">
        <f t="shared" si="0"/>
        <v>18.385445158020953</v>
      </c>
    </row>
    <row r="10" spans="1:5" x14ac:dyDescent="0.3">
      <c r="A10" s="24"/>
      <c r="B10" s="24"/>
      <c r="C10" s="8">
        <v>2019</v>
      </c>
      <c r="D10" s="17">
        <v>96198559</v>
      </c>
      <c r="E10" s="13">
        <f t="shared" si="0"/>
        <v>18.381924936313766</v>
      </c>
    </row>
    <row r="11" spans="1:5" x14ac:dyDescent="0.3">
      <c r="A11" s="24"/>
      <c r="B11" s="24"/>
      <c r="C11" s="8">
        <v>2020</v>
      </c>
      <c r="D11" s="17">
        <v>163136516</v>
      </c>
      <c r="E11" s="13">
        <f t="shared" si="0"/>
        <v>18.910097929718024</v>
      </c>
    </row>
    <row r="12" spans="1:5" x14ac:dyDescent="0.3">
      <c r="A12" s="24"/>
      <c r="B12" s="24"/>
      <c r="C12" s="8">
        <v>2021</v>
      </c>
      <c r="D12" s="17">
        <v>179271840</v>
      </c>
      <c r="E12" s="13">
        <f t="shared" si="0"/>
        <v>19.004413871026177</v>
      </c>
    </row>
    <row r="13" spans="1:5" x14ac:dyDescent="0.3">
      <c r="A13" s="24"/>
      <c r="B13" s="24"/>
      <c r="C13" s="8">
        <v>2022</v>
      </c>
      <c r="D13" s="17">
        <v>180433300</v>
      </c>
      <c r="E13" s="13">
        <f t="shared" si="0"/>
        <v>19.010871738358642</v>
      </c>
    </row>
    <row r="14" spans="1:5" x14ac:dyDescent="0.3">
      <c r="A14" s="24">
        <v>3</v>
      </c>
      <c r="B14" s="24" t="s">
        <v>8</v>
      </c>
      <c r="C14" s="8">
        <v>2018</v>
      </c>
      <c r="D14" s="16">
        <v>17591706426634</v>
      </c>
      <c r="E14" s="13">
        <f t="shared" si="0"/>
        <v>30.498448681151473</v>
      </c>
    </row>
    <row r="15" spans="1:5" x14ac:dyDescent="0.3">
      <c r="A15" s="24"/>
      <c r="B15" s="24"/>
      <c r="C15" s="8">
        <v>2019</v>
      </c>
      <c r="D15" s="17">
        <v>19037918806473</v>
      </c>
      <c r="E15" s="13">
        <f t="shared" si="0"/>
        <v>30.577453832934669</v>
      </c>
    </row>
    <row r="16" spans="1:5" x14ac:dyDescent="0.3">
      <c r="A16" s="24"/>
      <c r="B16" s="24"/>
      <c r="C16" s="8">
        <v>2020</v>
      </c>
      <c r="D16" s="17">
        <v>19777500514550</v>
      </c>
      <c r="E16" s="13">
        <f t="shared" si="0"/>
        <v>30.6155660698589</v>
      </c>
    </row>
    <row r="17" spans="1:5" x14ac:dyDescent="0.3">
      <c r="A17" s="24"/>
      <c r="B17" s="24"/>
      <c r="C17" s="8">
        <v>2021</v>
      </c>
      <c r="D17" s="17">
        <v>19917653265528</v>
      </c>
      <c r="E17" s="13">
        <f t="shared" si="0"/>
        <v>30.622627553189677</v>
      </c>
    </row>
    <row r="18" spans="1:5" x14ac:dyDescent="0.3">
      <c r="A18" s="24"/>
      <c r="B18" s="24"/>
      <c r="C18" s="8">
        <v>2022</v>
      </c>
      <c r="D18" s="17">
        <v>22276160695411</v>
      </c>
      <c r="E18" s="13">
        <f t="shared" si="0"/>
        <v>30.734538195465962</v>
      </c>
    </row>
    <row r="19" spans="1:5" x14ac:dyDescent="0.3">
      <c r="A19" s="24">
        <v>4</v>
      </c>
      <c r="B19" s="24" t="s">
        <v>9</v>
      </c>
      <c r="C19" s="8">
        <v>2018</v>
      </c>
      <c r="D19" s="17">
        <v>4212408305683</v>
      </c>
      <c r="E19" s="13">
        <f t="shared" si="0"/>
        <v>29.069055644173204</v>
      </c>
    </row>
    <row r="20" spans="1:5" x14ac:dyDescent="0.3">
      <c r="A20" s="24"/>
      <c r="B20" s="24"/>
      <c r="C20" s="8">
        <v>2019</v>
      </c>
      <c r="D20" s="17">
        <v>5063067672414</v>
      </c>
      <c r="E20" s="13">
        <f t="shared" si="0"/>
        <v>29.252993674897308</v>
      </c>
    </row>
    <row r="21" spans="1:5" x14ac:dyDescent="0.3">
      <c r="A21" s="24"/>
      <c r="B21" s="24"/>
      <c r="C21" s="8">
        <v>2020</v>
      </c>
      <c r="D21" s="17">
        <v>6570969641033</v>
      </c>
      <c r="E21" s="13">
        <f t="shared" si="0"/>
        <v>29.513682523689489</v>
      </c>
    </row>
    <row r="22" spans="1:5" x14ac:dyDescent="0.3">
      <c r="A22" s="24"/>
      <c r="B22" s="24"/>
      <c r="C22" s="8">
        <v>2021</v>
      </c>
      <c r="D22" s="17">
        <v>6766602280143</v>
      </c>
      <c r="E22" s="13">
        <f t="shared" si="0"/>
        <v>29.543020198013107</v>
      </c>
    </row>
    <row r="23" spans="1:5" x14ac:dyDescent="0.3">
      <c r="A23" s="24"/>
      <c r="B23" s="24"/>
      <c r="C23" s="8">
        <v>2022</v>
      </c>
      <c r="D23" s="17">
        <v>7327371934290</v>
      </c>
      <c r="E23" s="13">
        <f t="shared" si="0"/>
        <v>29.622638031970332</v>
      </c>
    </row>
    <row r="24" spans="1:5" x14ac:dyDescent="0.3">
      <c r="A24" s="24">
        <v>5</v>
      </c>
      <c r="B24" s="24" t="s">
        <v>10</v>
      </c>
      <c r="C24" s="8">
        <v>2018</v>
      </c>
      <c r="D24" s="17">
        <v>4393810380883</v>
      </c>
      <c r="E24" s="13">
        <f t="shared" si="0"/>
        <v>29.111217934859436</v>
      </c>
    </row>
    <row r="25" spans="1:5" x14ac:dyDescent="0.3">
      <c r="A25" s="24"/>
      <c r="B25" s="24"/>
      <c r="C25" s="8">
        <v>2019</v>
      </c>
      <c r="D25" s="17">
        <v>4682083844951</v>
      </c>
      <c r="E25" s="13">
        <f t="shared" si="0"/>
        <v>29.174764392771777</v>
      </c>
    </row>
    <row r="26" spans="1:5" x14ac:dyDescent="0.3">
      <c r="A26" s="24"/>
      <c r="B26" s="24"/>
      <c r="C26" s="8">
        <v>2020</v>
      </c>
      <c r="D26" s="17">
        <v>4452166671985</v>
      </c>
      <c r="E26" s="13">
        <f t="shared" si="0"/>
        <v>29.124411986193863</v>
      </c>
    </row>
    <row r="27" spans="1:5" x14ac:dyDescent="0.3">
      <c r="A27" s="24"/>
      <c r="B27" s="24"/>
      <c r="C27" s="8">
        <v>2021</v>
      </c>
      <c r="D27" s="17">
        <v>4191284422677</v>
      </c>
      <c r="E27" s="13">
        <f t="shared" si="0"/>
        <v>29.064028347678988</v>
      </c>
    </row>
    <row r="28" spans="1:5" x14ac:dyDescent="0.3">
      <c r="A28" s="24"/>
      <c r="B28" s="24"/>
      <c r="C28" s="8">
        <v>2022</v>
      </c>
      <c r="D28" s="17">
        <v>4130321616083</v>
      </c>
      <c r="E28" s="13">
        <f t="shared" si="0"/>
        <v>29.049376393013116</v>
      </c>
    </row>
    <row r="29" spans="1:5" x14ac:dyDescent="0.3">
      <c r="A29" s="24">
        <v>6</v>
      </c>
      <c r="B29" s="24" t="s">
        <v>11</v>
      </c>
      <c r="C29" s="8">
        <v>2018</v>
      </c>
      <c r="D29" s="17">
        <v>1523517170</v>
      </c>
      <c r="E29" s="13">
        <f t="shared" si="0"/>
        <v>21.144287426428271</v>
      </c>
    </row>
    <row r="30" spans="1:5" x14ac:dyDescent="0.3">
      <c r="A30" s="24"/>
      <c r="B30" s="24"/>
      <c r="C30" s="8">
        <v>2019</v>
      </c>
      <c r="D30" s="17">
        <v>1425983722</v>
      </c>
      <c r="E30" s="13">
        <f t="shared" si="0"/>
        <v>21.078127743726096</v>
      </c>
    </row>
    <row r="31" spans="1:5" x14ac:dyDescent="0.3">
      <c r="A31" s="24"/>
      <c r="B31" s="24"/>
      <c r="C31" s="8">
        <v>2020</v>
      </c>
      <c r="D31" s="17">
        <v>1225580913</v>
      </c>
      <c r="E31" s="13">
        <f t="shared" si="0"/>
        <v>20.926680783232726</v>
      </c>
    </row>
    <row r="32" spans="1:5" x14ac:dyDescent="0.3">
      <c r="A32" s="24"/>
      <c r="B32" s="24"/>
      <c r="C32" s="8">
        <v>2021</v>
      </c>
      <c r="D32" s="17">
        <v>1308722065</v>
      </c>
      <c r="E32" s="13">
        <f t="shared" si="0"/>
        <v>20.992316975126567</v>
      </c>
    </row>
    <row r="33" spans="1:5" x14ac:dyDescent="0.3">
      <c r="A33" s="24"/>
      <c r="B33" s="24"/>
      <c r="C33" s="8">
        <v>2022</v>
      </c>
      <c r="D33" s="17">
        <v>1307186367</v>
      </c>
      <c r="E33" s="13">
        <f t="shared" si="0"/>
        <v>20.991142852854061</v>
      </c>
    </row>
    <row r="34" spans="1:5" x14ac:dyDescent="0.3">
      <c r="A34" s="24">
        <v>7</v>
      </c>
      <c r="B34" s="21" t="s">
        <v>12</v>
      </c>
      <c r="C34" s="8">
        <v>2018</v>
      </c>
      <c r="D34" s="16">
        <v>747293725435</v>
      </c>
      <c r="E34" s="13">
        <f t="shared" si="0"/>
        <v>27.339724151534011</v>
      </c>
    </row>
    <row r="35" spans="1:5" x14ac:dyDescent="0.3">
      <c r="A35" s="24"/>
      <c r="B35" s="22"/>
      <c r="C35" s="8">
        <v>2019</v>
      </c>
      <c r="D35" s="17">
        <v>790845543826</v>
      </c>
      <c r="E35" s="13">
        <f t="shared" si="0"/>
        <v>27.396368518676066</v>
      </c>
    </row>
    <row r="36" spans="1:5" x14ac:dyDescent="0.3">
      <c r="A36" s="24"/>
      <c r="B36" s="22"/>
      <c r="C36" s="8">
        <v>2020</v>
      </c>
      <c r="D36" s="17">
        <v>773863042440</v>
      </c>
      <c r="E36" s="13">
        <f t="shared" si="0"/>
        <v>27.374660747127098</v>
      </c>
    </row>
    <row r="37" spans="1:5" x14ac:dyDescent="0.3">
      <c r="A37" s="24"/>
      <c r="B37" s="22"/>
      <c r="C37" s="8">
        <v>2021</v>
      </c>
      <c r="D37" s="18">
        <v>889125250792</v>
      </c>
      <c r="E37" s="13">
        <f t="shared" si="0"/>
        <v>27.513503952066127</v>
      </c>
    </row>
    <row r="38" spans="1:5" x14ac:dyDescent="0.3">
      <c r="A38" s="24"/>
      <c r="B38" s="23"/>
      <c r="C38" s="8">
        <v>2022</v>
      </c>
      <c r="D38" s="18">
        <v>1033289474829</v>
      </c>
      <c r="E38" s="13">
        <f t="shared" si="0"/>
        <v>27.663768494136907</v>
      </c>
    </row>
    <row r="39" spans="1:5" x14ac:dyDescent="0.3">
      <c r="A39" s="24">
        <v>8</v>
      </c>
      <c r="B39" s="24" t="s">
        <v>13</v>
      </c>
      <c r="C39" s="8">
        <v>2018</v>
      </c>
      <c r="D39" s="5">
        <v>1168956042706</v>
      </c>
      <c r="E39" s="13">
        <f t="shared" si="0"/>
        <v>27.78713219523587</v>
      </c>
    </row>
    <row r="40" spans="1:5" x14ac:dyDescent="0.3">
      <c r="A40" s="24"/>
      <c r="B40" s="24"/>
      <c r="C40" s="8">
        <v>2019</v>
      </c>
      <c r="D40" s="17">
        <v>1393079542074</v>
      </c>
      <c r="E40" s="13">
        <f t="shared" si="0"/>
        <v>27.962537910369512</v>
      </c>
    </row>
    <row r="41" spans="1:5" x14ac:dyDescent="0.3">
      <c r="A41" s="24"/>
      <c r="B41" s="24"/>
      <c r="C41" s="8">
        <v>2020</v>
      </c>
      <c r="D41" s="17">
        <v>1566673828068</v>
      </c>
      <c r="E41" s="13">
        <f t="shared" si="0"/>
        <v>28.079975907073237</v>
      </c>
    </row>
    <row r="42" spans="1:5" x14ac:dyDescent="0.3">
      <c r="A42" s="24"/>
      <c r="B42" s="24"/>
      <c r="C42" s="8">
        <v>2021</v>
      </c>
      <c r="D42" s="17">
        <v>1697387196209</v>
      </c>
      <c r="E42" s="13">
        <f t="shared" si="0"/>
        <v>28.160111241275146</v>
      </c>
    </row>
    <row r="43" spans="1:5" x14ac:dyDescent="0.3">
      <c r="A43" s="24"/>
      <c r="B43" s="24"/>
      <c r="C43" s="8">
        <v>2022</v>
      </c>
      <c r="D43" s="17">
        <v>1718287453575</v>
      </c>
      <c r="E43" s="13">
        <f t="shared" si="0"/>
        <v>28.172349244222566</v>
      </c>
    </row>
    <row r="44" spans="1:5" x14ac:dyDescent="0.3">
      <c r="A44" s="24">
        <v>9</v>
      </c>
      <c r="B44" s="24" t="s">
        <v>14</v>
      </c>
      <c r="C44" s="8">
        <v>2018</v>
      </c>
      <c r="D44" s="17">
        <v>3392980</v>
      </c>
      <c r="E44" s="13">
        <f t="shared" si="0"/>
        <v>15.037219149260341</v>
      </c>
    </row>
    <row r="45" spans="1:5" x14ac:dyDescent="0.3">
      <c r="A45" s="24"/>
      <c r="B45" s="24"/>
      <c r="C45" s="8">
        <v>2019</v>
      </c>
      <c r="D45" s="17">
        <v>2999767</v>
      </c>
      <c r="E45" s="13">
        <f t="shared" si="0"/>
        <v>14.914045176949505</v>
      </c>
    </row>
    <row r="46" spans="1:5" x14ac:dyDescent="0.3">
      <c r="A46" s="24"/>
      <c r="B46" s="24"/>
      <c r="C46" s="8">
        <v>2020</v>
      </c>
      <c r="D46" s="17">
        <v>2963007</v>
      </c>
      <c r="E46" s="13">
        <f t="shared" si="0"/>
        <v>14.901715189023381</v>
      </c>
    </row>
    <row r="47" spans="1:5" x14ac:dyDescent="0.3">
      <c r="A47" s="24"/>
      <c r="B47" s="24"/>
      <c r="C47" s="8">
        <v>2021</v>
      </c>
      <c r="D47" s="17">
        <v>2993218</v>
      </c>
      <c r="E47" s="13">
        <f t="shared" si="0"/>
        <v>14.911859620801156</v>
      </c>
    </row>
    <row r="48" spans="1:5" x14ac:dyDescent="0.3">
      <c r="A48" s="24"/>
      <c r="B48" s="24"/>
      <c r="C48" s="8">
        <v>2022</v>
      </c>
      <c r="D48" s="17">
        <v>3173651</v>
      </c>
      <c r="E48" s="13">
        <f t="shared" si="0"/>
        <v>14.97039321813128</v>
      </c>
    </row>
    <row r="49" spans="1:5" x14ac:dyDescent="0.3">
      <c r="A49" s="24">
        <v>10</v>
      </c>
      <c r="B49" s="21" t="s">
        <v>15</v>
      </c>
      <c r="C49" s="8">
        <v>2018</v>
      </c>
      <c r="D49" s="17">
        <v>758846556031</v>
      </c>
      <c r="E49" s="13">
        <f t="shared" si="0"/>
        <v>27.355065427936687</v>
      </c>
    </row>
    <row r="50" spans="1:5" x14ac:dyDescent="0.3">
      <c r="A50" s="24"/>
      <c r="B50" s="22"/>
      <c r="C50" s="8">
        <v>2019</v>
      </c>
      <c r="D50" s="17">
        <v>848676035300</v>
      </c>
      <c r="E50" s="13">
        <f t="shared" si="0"/>
        <v>27.466943366572742</v>
      </c>
    </row>
    <row r="51" spans="1:5" x14ac:dyDescent="0.3">
      <c r="A51" s="24"/>
      <c r="B51" s="22"/>
      <c r="C51" s="8">
        <v>2020</v>
      </c>
      <c r="D51" s="17">
        <v>906924214166</v>
      </c>
      <c r="E51" s="13">
        <f t="shared" si="0"/>
        <v>27.533324726972925</v>
      </c>
    </row>
    <row r="52" spans="1:5" x14ac:dyDescent="0.3">
      <c r="A52" s="24"/>
      <c r="B52" s="22"/>
      <c r="C52" s="8">
        <v>2021</v>
      </c>
      <c r="D52" s="18">
        <v>987563580363</v>
      </c>
      <c r="E52" s="13">
        <f t="shared" si="0"/>
        <v>27.618506716826772</v>
      </c>
    </row>
    <row r="53" spans="1:5" x14ac:dyDescent="0.3">
      <c r="A53" s="24"/>
      <c r="B53" s="23"/>
      <c r="C53" s="8">
        <v>2022</v>
      </c>
      <c r="D53" s="18">
        <v>811603660216</v>
      </c>
      <c r="E53" s="13">
        <f t="shared" si="0"/>
        <v>27.422277954764688</v>
      </c>
    </row>
  </sheetData>
  <mergeCells count="20">
    <mergeCell ref="A49:A53"/>
    <mergeCell ref="B49:B53"/>
    <mergeCell ref="A34:A38"/>
    <mergeCell ref="B34:B38"/>
    <mergeCell ref="A39:A43"/>
    <mergeCell ref="B39:B43"/>
    <mergeCell ref="A44:A48"/>
    <mergeCell ref="B44:B48"/>
    <mergeCell ref="A19:A23"/>
    <mergeCell ref="B19:B23"/>
    <mergeCell ref="A24:A28"/>
    <mergeCell ref="B24:B28"/>
    <mergeCell ref="A29:A33"/>
    <mergeCell ref="B29:B33"/>
    <mergeCell ref="A4:A8"/>
    <mergeCell ref="B4:B8"/>
    <mergeCell ref="A9:A13"/>
    <mergeCell ref="B9:B13"/>
    <mergeCell ref="A14:A18"/>
    <mergeCell ref="B14:B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3"/>
  <sheetViews>
    <sheetView workbookViewId="0">
      <selection activeCell="F4" sqref="F4"/>
    </sheetView>
  </sheetViews>
  <sheetFormatPr defaultColWidth="9.1796875" defaultRowHeight="14" x14ac:dyDescent="0.3"/>
  <cols>
    <col min="1" max="1" width="5.1796875" style="11" customWidth="1"/>
    <col min="2" max="2" width="9.1796875" style="11" customWidth="1"/>
    <col min="3" max="3" width="9.1796875" style="11"/>
    <col min="4" max="5" width="17.54296875" style="11" bestFit="1" customWidth="1"/>
    <col min="6" max="6" width="24.7265625" style="11" bestFit="1" customWidth="1"/>
    <col min="7" max="16384" width="9.1796875" style="11"/>
  </cols>
  <sheetData>
    <row r="1" spans="1:6" x14ac:dyDescent="0.3">
      <c r="A1" s="14" t="s">
        <v>26</v>
      </c>
    </row>
    <row r="3" spans="1:6" x14ac:dyDescent="0.3">
      <c r="A3" s="6" t="s">
        <v>0</v>
      </c>
      <c r="B3" s="6" t="s">
        <v>1</v>
      </c>
      <c r="C3" s="6" t="s">
        <v>3</v>
      </c>
      <c r="D3" s="7" t="s">
        <v>5</v>
      </c>
      <c r="E3" s="15" t="s">
        <v>16</v>
      </c>
      <c r="F3" s="7" t="s">
        <v>26</v>
      </c>
    </row>
    <row r="4" spans="1:6" x14ac:dyDescent="0.3">
      <c r="A4" s="24">
        <v>1</v>
      </c>
      <c r="B4" s="24" t="s">
        <v>6</v>
      </c>
      <c r="C4" s="8">
        <v>2018</v>
      </c>
      <c r="D4" s="4">
        <v>34367153</v>
      </c>
      <c r="E4" s="16">
        <v>31619514</v>
      </c>
      <c r="F4" s="13">
        <f>(D4-E4)/E4</f>
        <v>8.6896939655682251E-2</v>
      </c>
    </row>
    <row r="5" spans="1:6" x14ac:dyDescent="0.3">
      <c r="A5" s="24"/>
      <c r="B5" s="24"/>
      <c r="C5" s="8">
        <v>2019</v>
      </c>
      <c r="D5" s="9">
        <v>38709314</v>
      </c>
      <c r="E5" s="16">
        <v>34367153</v>
      </c>
      <c r="F5" s="13">
        <f t="shared" ref="F5:F53" si="0">(D5-E5)/E5</f>
        <v>0.12634625277223283</v>
      </c>
    </row>
    <row r="6" spans="1:6" x14ac:dyDescent="0.3">
      <c r="A6" s="24"/>
      <c r="B6" s="24"/>
      <c r="C6" s="8">
        <v>2020</v>
      </c>
      <c r="D6" s="9">
        <v>103588325</v>
      </c>
      <c r="E6" s="17">
        <v>38709314</v>
      </c>
      <c r="F6" s="13">
        <f t="shared" si="0"/>
        <v>1.6760568528804205</v>
      </c>
    </row>
    <row r="7" spans="1:6" x14ac:dyDescent="0.3">
      <c r="A7" s="24"/>
      <c r="B7" s="24"/>
      <c r="C7" s="8">
        <v>2021</v>
      </c>
      <c r="D7" s="9">
        <v>118015311</v>
      </c>
      <c r="E7" s="17">
        <v>103588325</v>
      </c>
      <c r="F7" s="13">
        <f t="shared" si="0"/>
        <v>0.13927231664379167</v>
      </c>
    </row>
    <row r="8" spans="1:6" x14ac:dyDescent="0.3">
      <c r="A8" s="24"/>
      <c r="B8" s="24"/>
      <c r="C8" s="8">
        <v>2022</v>
      </c>
      <c r="D8" s="9">
        <v>115305536</v>
      </c>
      <c r="E8" s="17">
        <v>118015311</v>
      </c>
      <c r="F8" s="13">
        <f t="shared" si="0"/>
        <v>-2.2961215600236819E-2</v>
      </c>
    </row>
    <row r="9" spans="1:6" x14ac:dyDescent="0.3">
      <c r="A9" s="24">
        <v>2</v>
      </c>
      <c r="B9" s="24" t="s">
        <v>7</v>
      </c>
      <c r="C9" s="8">
        <v>2018</v>
      </c>
      <c r="D9" s="4">
        <v>96537796</v>
      </c>
      <c r="E9" s="17">
        <v>88400877</v>
      </c>
      <c r="F9" s="13">
        <f t="shared" si="0"/>
        <v>9.2045681854491107E-2</v>
      </c>
    </row>
    <row r="10" spans="1:6" x14ac:dyDescent="0.3">
      <c r="A10" s="24"/>
      <c r="B10" s="24"/>
      <c r="C10" s="8">
        <v>2019</v>
      </c>
      <c r="D10" s="9">
        <v>96198559</v>
      </c>
      <c r="E10" s="16">
        <v>96537796</v>
      </c>
      <c r="F10" s="13">
        <f t="shared" si="0"/>
        <v>-3.5140329907676782E-3</v>
      </c>
    </row>
    <row r="11" spans="1:6" x14ac:dyDescent="0.3">
      <c r="A11" s="24"/>
      <c r="B11" s="24"/>
      <c r="C11" s="8">
        <v>2020</v>
      </c>
      <c r="D11" s="9">
        <v>163136516</v>
      </c>
      <c r="E11" s="17">
        <v>96198559</v>
      </c>
      <c r="F11" s="13">
        <f t="shared" si="0"/>
        <v>0.69583118183714165</v>
      </c>
    </row>
    <row r="12" spans="1:6" x14ac:dyDescent="0.3">
      <c r="A12" s="24"/>
      <c r="B12" s="24"/>
      <c r="C12" s="8">
        <v>2021</v>
      </c>
      <c r="D12" s="9">
        <v>179271840</v>
      </c>
      <c r="E12" s="17">
        <v>163136516</v>
      </c>
      <c r="F12" s="13">
        <f t="shared" si="0"/>
        <v>9.8906881154676621E-2</v>
      </c>
    </row>
    <row r="13" spans="1:6" x14ac:dyDescent="0.3">
      <c r="A13" s="24"/>
      <c r="B13" s="24"/>
      <c r="C13" s="8">
        <v>2022</v>
      </c>
      <c r="D13" s="9">
        <v>180433300</v>
      </c>
      <c r="E13" s="17">
        <v>179271840</v>
      </c>
      <c r="F13" s="13">
        <f t="shared" si="0"/>
        <v>6.4787643168051383E-3</v>
      </c>
    </row>
    <row r="14" spans="1:6" x14ac:dyDescent="0.3">
      <c r="A14" s="24">
        <v>3</v>
      </c>
      <c r="B14" s="24" t="s">
        <v>8</v>
      </c>
      <c r="C14" s="8">
        <v>2018</v>
      </c>
      <c r="D14" s="4">
        <v>17591706426634</v>
      </c>
      <c r="E14" s="16">
        <v>14915849800251</v>
      </c>
      <c r="F14" s="13">
        <f t="shared" si="0"/>
        <v>0.17939686053542664</v>
      </c>
    </row>
    <row r="15" spans="1:6" x14ac:dyDescent="0.3">
      <c r="A15" s="24"/>
      <c r="B15" s="24"/>
      <c r="C15" s="8">
        <v>2019</v>
      </c>
      <c r="D15" s="9">
        <v>19037918806473</v>
      </c>
      <c r="E15" s="16">
        <v>17591706426634</v>
      </c>
      <c r="F15" s="13">
        <f t="shared" si="0"/>
        <v>8.2209897366717175E-2</v>
      </c>
    </row>
    <row r="16" spans="1:6" x14ac:dyDescent="0.3">
      <c r="A16" s="24"/>
      <c r="B16" s="24"/>
      <c r="C16" s="8">
        <v>2020</v>
      </c>
      <c r="D16" s="9">
        <v>19777500514550</v>
      </c>
      <c r="E16" s="17">
        <v>19037918806473</v>
      </c>
      <c r="F16" s="13">
        <f t="shared" si="0"/>
        <v>3.8847823419939052E-2</v>
      </c>
    </row>
    <row r="17" spans="1:6" x14ac:dyDescent="0.3">
      <c r="A17" s="24"/>
      <c r="B17" s="24"/>
      <c r="C17" s="8">
        <v>2021</v>
      </c>
      <c r="D17" s="9">
        <v>19917653265528</v>
      </c>
      <c r="E17" s="17">
        <v>19777500514550</v>
      </c>
      <c r="F17" s="13">
        <f t="shared" si="0"/>
        <v>7.0864743942184102E-3</v>
      </c>
    </row>
    <row r="18" spans="1:6" x14ac:dyDescent="0.3">
      <c r="A18" s="24"/>
      <c r="B18" s="24"/>
      <c r="C18" s="8">
        <v>2022</v>
      </c>
      <c r="D18" s="9">
        <v>22276160695411</v>
      </c>
      <c r="E18" s="17">
        <v>19917653265528</v>
      </c>
      <c r="F18" s="13">
        <f t="shared" si="0"/>
        <v>0.11841291734729262</v>
      </c>
    </row>
    <row r="19" spans="1:6" x14ac:dyDescent="0.3">
      <c r="A19" s="24">
        <v>4</v>
      </c>
      <c r="B19" s="24" t="s">
        <v>9</v>
      </c>
      <c r="C19" s="8">
        <v>2018</v>
      </c>
      <c r="D19" s="9">
        <v>4212408305683</v>
      </c>
      <c r="E19" s="17">
        <v>3564218091628</v>
      </c>
      <c r="F19" s="13">
        <f t="shared" si="0"/>
        <v>0.18186042419164403</v>
      </c>
    </row>
    <row r="20" spans="1:6" x14ac:dyDescent="0.3">
      <c r="A20" s="24"/>
      <c r="B20" s="24"/>
      <c r="C20" s="8">
        <v>2019</v>
      </c>
      <c r="D20" s="9">
        <v>5063067672414</v>
      </c>
      <c r="E20" s="17">
        <v>4212408305683</v>
      </c>
      <c r="F20" s="13">
        <f t="shared" si="0"/>
        <v>0.20194133735406594</v>
      </c>
    </row>
    <row r="21" spans="1:6" x14ac:dyDescent="0.3">
      <c r="A21" s="24"/>
      <c r="B21" s="24"/>
      <c r="C21" s="8">
        <v>2020</v>
      </c>
      <c r="D21" s="9">
        <v>6570969641033</v>
      </c>
      <c r="E21" s="17">
        <v>5063067672414</v>
      </c>
      <c r="F21" s="13">
        <f t="shared" si="0"/>
        <v>0.2978237831650497</v>
      </c>
    </row>
    <row r="22" spans="1:6" x14ac:dyDescent="0.3">
      <c r="A22" s="24"/>
      <c r="B22" s="24"/>
      <c r="C22" s="8">
        <v>2021</v>
      </c>
      <c r="D22" s="9">
        <v>6766602280143</v>
      </c>
      <c r="E22" s="17">
        <v>6570969641033</v>
      </c>
      <c r="F22" s="13">
        <f t="shared" si="0"/>
        <v>2.9772263424922056E-2</v>
      </c>
    </row>
    <row r="23" spans="1:6" x14ac:dyDescent="0.3">
      <c r="A23" s="24"/>
      <c r="B23" s="24"/>
      <c r="C23" s="8">
        <v>2022</v>
      </c>
      <c r="D23" s="9">
        <v>7327371934290</v>
      </c>
      <c r="E23" s="17">
        <v>6766602280143</v>
      </c>
      <c r="F23" s="13">
        <f t="shared" si="0"/>
        <v>8.2873151240558676E-2</v>
      </c>
    </row>
    <row r="24" spans="1:6" x14ac:dyDescent="0.3">
      <c r="A24" s="24">
        <v>5</v>
      </c>
      <c r="B24" s="24" t="s">
        <v>10</v>
      </c>
      <c r="C24" s="8">
        <v>2018</v>
      </c>
      <c r="D24" s="9">
        <v>4393810380883</v>
      </c>
      <c r="E24" s="17">
        <v>4559573709411</v>
      </c>
      <c r="F24" s="13">
        <f t="shared" si="0"/>
        <v>-3.6355005772987732E-2</v>
      </c>
    </row>
    <row r="25" spans="1:6" x14ac:dyDescent="0.3">
      <c r="A25" s="24"/>
      <c r="B25" s="24"/>
      <c r="C25" s="8">
        <v>2019</v>
      </c>
      <c r="D25" s="9">
        <v>4682083844951</v>
      </c>
      <c r="E25" s="17">
        <v>4393810380883</v>
      </c>
      <c r="F25" s="13">
        <f t="shared" si="0"/>
        <v>6.5608990620589155E-2</v>
      </c>
    </row>
    <row r="26" spans="1:6" x14ac:dyDescent="0.3">
      <c r="A26" s="24"/>
      <c r="B26" s="24"/>
      <c r="C26" s="8">
        <v>2020</v>
      </c>
      <c r="D26" s="9">
        <v>4452166671985</v>
      </c>
      <c r="E26" s="17">
        <v>4682083844951</v>
      </c>
      <c r="F26" s="13">
        <f t="shared" si="0"/>
        <v>-4.9105735945744515E-2</v>
      </c>
    </row>
    <row r="27" spans="1:6" x14ac:dyDescent="0.3">
      <c r="A27" s="24"/>
      <c r="B27" s="24"/>
      <c r="C27" s="8">
        <v>2021</v>
      </c>
      <c r="D27" s="9">
        <v>4191284422677</v>
      </c>
      <c r="E27" s="17">
        <v>4452166671985</v>
      </c>
      <c r="F27" s="13">
        <f t="shared" si="0"/>
        <v>-5.8596694267891269E-2</v>
      </c>
    </row>
    <row r="28" spans="1:6" x14ac:dyDescent="0.3">
      <c r="A28" s="24"/>
      <c r="B28" s="24"/>
      <c r="C28" s="8">
        <v>2022</v>
      </c>
      <c r="D28" s="9">
        <v>4130321616083</v>
      </c>
      <c r="E28" s="17">
        <v>4191284422677</v>
      </c>
      <c r="F28" s="13">
        <f t="shared" si="0"/>
        <v>-1.4545137109798592E-2</v>
      </c>
    </row>
    <row r="29" spans="1:6" x14ac:dyDescent="0.3">
      <c r="A29" s="24">
        <v>6</v>
      </c>
      <c r="B29" s="24" t="s">
        <v>11</v>
      </c>
      <c r="C29" s="8">
        <v>2018</v>
      </c>
      <c r="D29" s="9">
        <v>1523517170</v>
      </c>
      <c r="E29" s="17">
        <v>1340842765</v>
      </c>
      <c r="F29" s="13">
        <f t="shared" si="0"/>
        <v>0.13623849847897715</v>
      </c>
    </row>
    <row r="30" spans="1:6" x14ac:dyDescent="0.3">
      <c r="A30" s="24"/>
      <c r="B30" s="24"/>
      <c r="C30" s="8">
        <v>2019</v>
      </c>
      <c r="D30" s="9">
        <v>1425983722</v>
      </c>
      <c r="E30" s="17">
        <v>1523517170</v>
      </c>
      <c r="F30" s="13">
        <f t="shared" si="0"/>
        <v>-6.4018607680017159E-2</v>
      </c>
    </row>
    <row r="31" spans="1:6" x14ac:dyDescent="0.3">
      <c r="A31" s="24"/>
      <c r="B31" s="24"/>
      <c r="C31" s="8">
        <v>2020</v>
      </c>
      <c r="D31" s="9">
        <v>1225580913</v>
      </c>
      <c r="E31" s="17">
        <v>1425983722</v>
      </c>
      <c r="F31" s="13">
        <f t="shared" si="0"/>
        <v>-0.14053653341773562</v>
      </c>
    </row>
    <row r="32" spans="1:6" x14ac:dyDescent="0.3">
      <c r="A32" s="24"/>
      <c r="B32" s="24"/>
      <c r="C32" s="8">
        <v>2021</v>
      </c>
      <c r="D32" s="9">
        <v>1308722065</v>
      </c>
      <c r="E32" s="17">
        <v>1225580913</v>
      </c>
      <c r="F32" s="13">
        <f t="shared" si="0"/>
        <v>6.7838158311788271E-2</v>
      </c>
    </row>
    <row r="33" spans="1:6" x14ac:dyDescent="0.3">
      <c r="A33" s="24"/>
      <c r="B33" s="24"/>
      <c r="C33" s="8">
        <v>2022</v>
      </c>
      <c r="D33" s="9">
        <v>1307186367</v>
      </c>
      <c r="E33" s="17">
        <v>1308722065</v>
      </c>
      <c r="F33" s="13">
        <f t="shared" si="0"/>
        <v>-1.1734332606365891E-3</v>
      </c>
    </row>
    <row r="34" spans="1:6" x14ac:dyDescent="0.3">
      <c r="A34" s="24">
        <v>7</v>
      </c>
      <c r="B34" s="21" t="s">
        <v>12</v>
      </c>
      <c r="C34" s="8">
        <v>2018</v>
      </c>
      <c r="D34" s="4">
        <v>747293725435</v>
      </c>
      <c r="E34" s="16">
        <v>636284210210</v>
      </c>
      <c r="F34" s="13">
        <f t="shared" si="0"/>
        <v>0.17446529937991434</v>
      </c>
    </row>
    <row r="35" spans="1:6" x14ac:dyDescent="0.3">
      <c r="A35" s="24"/>
      <c r="B35" s="22"/>
      <c r="C35" s="8">
        <v>2019</v>
      </c>
      <c r="D35" s="9">
        <v>790845543826</v>
      </c>
      <c r="E35" s="16">
        <v>747293725435</v>
      </c>
      <c r="F35" s="13">
        <f t="shared" si="0"/>
        <v>5.8279384542735811E-2</v>
      </c>
    </row>
    <row r="36" spans="1:6" x14ac:dyDescent="0.3">
      <c r="A36" s="24"/>
      <c r="B36" s="22"/>
      <c r="C36" s="8">
        <v>2020</v>
      </c>
      <c r="D36" s="9">
        <v>773863042440</v>
      </c>
      <c r="E36" s="17">
        <v>790845543826</v>
      </c>
      <c r="F36" s="13">
        <f t="shared" si="0"/>
        <v>-2.1473853546472597E-2</v>
      </c>
    </row>
    <row r="37" spans="1:6" x14ac:dyDescent="0.3">
      <c r="A37" s="24"/>
      <c r="B37" s="22"/>
      <c r="C37" s="8">
        <v>2021</v>
      </c>
      <c r="D37" s="10">
        <v>889125250792</v>
      </c>
      <c r="E37" s="17">
        <v>773863042440</v>
      </c>
      <c r="F37" s="13">
        <f t="shared" si="0"/>
        <v>0.14894393714497178</v>
      </c>
    </row>
    <row r="38" spans="1:6" x14ac:dyDescent="0.3">
      <c r="A38" s="24"/>
      <c r="B38" s="23"/>
      <c r="C38" s="8">
        <v>2022</v>
      </c>
      <c r="D38" s="10">
        <v>1033289474829</v>
      </c>
      <c r="E38" s="18">
        <v>889125250792</v>
      </c>
      <c r="F38" s="13">
        <f t="shared" si="0"/>
        <v>0.16214163742238097</v>
      </c>
    </row>
    <row r="39" spans="1:6" x14ac:dyDescent="0.3">
      <c r="A39" s="24">
        <v>8</v>
      </c>
      <c r="B39" s="24" t="s">
        <v>13</v>
      </c>
      <c r="C39" s="8">
        <v>2018</v>
      </c>
      <c r="D39" s="5">
        <v>1168956042706</v>
      </c>
      <c r="E39" s="17">
        <v>1392636444501</v>
      </c>
      <c r="F39" s="13">
        <f t="shared" si="0"/>
        <v>-0.1606165074009302</v>
      </c>
    </row>
    <row r="40" spans="1:6" x14ac:dyDescent="0.3">
      <c r="A40" s="24"/>
      <c r="B40" s="24"/>
      <c r="C40" s="8">
        <v>2019</v>
      </c>
      <c r="D40" s="9">
        <v>1393079542074</v>
      </c>
      <c r="E40" s="5">
        <v>1168956042706</v>
      </c>
      <c r="F40" s="13">
        <f t="shared" si="0"/>
        <v>0.19172962128599777</v>
      </c>
    </row>
    <row r="41" spans="1:6" x14ac:dyDescent="0.3">
      <c r="A41" s="24"/>
      <c r="B41" s="24"/>
      <c r="C41" s="8">
        <v>2020</v>
      </c>
      <c r="D41" s="9">
        <v>1566673828068</v>
      </c>
      <c r="E41" s="17">
        <v>1393079542074</v>
      </c>
      <c r="F41" s="13">
        <f t="shared" si="0"/>
        <v>0.12461189813724127</v>
      </c>
    </row>
    <row r="42" spans="1:6" x14ac:dyDescent="0.3">
      <c r="A42" s="24"/>
      <c r="B42" s="24"/>
      <c r="C42" s="8">
        <v>2021</v>
      </c>
      <c r="D42" s="9">
        <v>1697387196209</v>
      </c>
      <c r="E42" s="17">
        <v>1566673828068</v>
      </c>
      <c r="F42" s="13">
        <f t="shared" si="0"/>
        <v>8.3433683386537366E-2</v>
      </c>
    </row>
    <row r="43" spans="1:6" x14ac:dyDescent="0.3">
      <c r="A43" s="24"/>
      <c r="B43" s="24"/>
      <c r="C43" s="8">
        <v>2022</v>
      </c>
      <c r="D43" s="9">
        <v>1718287453575</v>
      </c>
      <c r="E43" s="17">
        <v>1697387196209</v>
      </c>
      <c r="F43" s="13">
        <f t="shared" si="0"/>
        <v>1.2313193720725193E-2</v>
      </c>
    </row>
    <row r="44" spans="1:6" x14ac:dyDescent="0.3">
      <c r="A44" s="24">
        <v>9</v>
      </c>
      <c r="B44" s="24" t="s">
        <v>14</v>
      </c>
      <c r="C44" s="8">
        <v>2018</v>
      </c>
      <c r="D44" s="9">
        <v>3392980</v>
      </c>
      <c r="E44" s="17">
        <v>2939456</v>
      </c>
      <c r="F44" s="13">
        <f t="shared" si="0"/>
        <v>0.15428841254980513</v>
      </c>
    </row>
    <row r="45" spans="1:6" x14ac:dyDescent="0.3">
      <c r="A45" s="24"/>
      <c r="B45" s="24"/>
      <c r="C45" s="8">
        <v>2019</v>
      </c>
      <c r="D45" s="9">
        <v>2999767</v>
      </c>
      <c r="E45" s="17">
        <v>3392980</v>
      </c>
      <c r="F45" s="13">
        <f t="shared" si="0"/>
        <v>-0.11589016145099588</v>
      </c>
    </row>
    <row r="46" spans="1:6" x14ac:dyDescent="0.3">
      <c r="A46" s="24"/>
      <c r="B46" s="24"/>
      <c r="C46" s="8">
        <v>2020</v>
      </c>
      <c r="D46" s="9">
        <v>2963007</v>
      </c>
      <c r="E46" s="17">
        <v>2999767</v>
      </c>
      <c r="F46" s="13">
        <f t="shared" si="0"/>
        <v>-1.2254285082808097E-2</v>
      </c>
    </row>
    <row r="47" spans="1:6" x14ac:dyDescent="0.3">
      <c r="A47" s="24"/>
      <c r="B47" s="24"/>
      <c r="C47" s="8">
        <v>2021</v>
      </c>
      <c r="D47" s="9">
        <v>2993218</v>
      </c>
      <c r="E47" s="17">
        <v>2963007</v>
      </c>
      <c r="F47" s="13">
        <f t="shared" si="0"/>
        <v>1.0196060961043966E-2</v>
      </c>
    </row>
    <row r="48" spans="1:6" x14ac:dyDescent="0.3">
      <c r="A48" s="24"/>
      <c r="B48" s="24"/>
      <c r="C48" s="8">
        <v>2022</v>
      </c>
      <c r="D48" s="9">
        <v>3173651</v>
      </c>
      <c r="E48" s="17">
        <v>2993218</v>
      </c>
      <c r="F48" s="13">
        <f t="shared" si="0"/>
        <v>6.0280607693793099E-2</v>
      </c>
    </row>
    <row r="49" spans="1:6" x14ac:dyDescent="0.3">
      <c r="A49" s="24">
        <v>10</v>
      </c>
      <c r="B49" s="21" t="s">
        <v>15</v>
      </c>
      <c r="C49" s="8">
        <v>2018</v>
      </c>
      <c r="D49" s="9">
        <v>758846556031</v>
      </c>
      <c r="E49" s="16">
        <v>576963542579</v>
      </c>
      <c r="F49" s="13">
        <f t="shared" si="0"/>
        <v>0.31524177877685555</v>
      </c>
    </row>
    <row r="50" spans="1:6" x14ac:dyDescent="0.3">
      <c r="A50" s="24"/>
      <c r="B50" s="22"/>
      <c r="C50" s="8">
        <v>2019</v>
      </c>
      <c r="D50" s="9">
        <v>848676035300</v>
      </c>
      <c r="E50" s="17">
        <v>758846556031</v>
      </c>
      <c r="F50" s="13">
        <f t="shared" si="0"/>
        <v>0.11837634177169586</v>
      </c>
    </row>
    <row r="51" spans="1:6" x14ac:dyDescent="0.3">
      <c r="A51" s="24"/>
      <c r="B51" s="22"/>
      <c r="C51" s="8">
        <v>2020</v>
      </c>
      <c r="D51" s="9">
        <v>906924214166</v>
      </c>
      <c r="E51" s="17">
        <v>848676035300</v>
      </c>
      <c r="F51" s="13">
        <f t="shared" si="0"/>
        <v>6.8634174223394614E-2</v>
      </c>
    </row>
    <row r="52" spans="1:6" x14ac:dyDescent="0.3">
      <c r="A52" s="24"/>
      <c r="B52" s="22"/>
      <c r="C52" s="8">
        <v>2021</v>
      </c>
      <c r="D52" s="10">
        <v>987563580363</v>
      </c>
      <c r="E52" s="17">
        <v>906924214166</v>
      </c>
      <c r="F52" s="13">
        <f t="shared" si="0"/>
        <v>8.891522018866295E-2</v>
      </c>
    </row>
    <row r="53" spans="1:6" x14ac:dyDescent="0.3">
      <c r="A53" s="24"/>
      <c r="B53" s="23"/>
      <c r="C53" s="8">
        <v>2022</v>
      </c>
      <c r="D53" s="10">
        <v>811603660216</v>
      </c>
      <c r="E53" s="18">
        <v>987563580363</v>
      </c>
      <c r="F53" s="13">
        <f t="shared" si="0"/>
        <v>-0.17817578902851217</v>
      </c>
    </row>
  </sheetData>
  <mergeCells count="20">
    <mergeCell ref="A49:A53"/>
    <mergeCell ref="B49:B53"/>
    <mergeCell ref="A34:A38"/>
    <mergeCell ref="B34:B38"/>
    <mergeCell ref="A39:A43"/>
    <mergeCell ref="B39:B43"/>
    <mergeCell ref="A44:A48"/>
    <mergeCell ref="B44:B48"/>
    <mergeCell ref="A19:A23"/>
    <mergeCell ref="B19:B23"/>
    <mergeCell ref="A24:A28"/>
    <mergeCell ref="B24:B28"/>
    <mergeCell ref="A29:A33"/>
    <mergeCell ref="B29:B33"/>
    <mergeCell ref="A4:A8"/>
    <mergeCell ref="B4:B8"/>
    <mergeCell ref="A9:A13"/>
    <mergeCell ref="B9:B13"/>
    <mergeCell ref="A14:A18"/>
    <mergeCell ref="B14:B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3"/>
  <sheetViews>
    <sheetView workbookViewId="0">
      <selection activeCell="F8" sqref="F8"/>
    </sheetView>
  </sheetViews>
  <sheetFormatPr defaultColWidth="9.1796875" defaultRowHeight="14" x14ac:dyDescent="0.3"/>
  <cols>
    <col min="1" max="1" width="5.1796875" style="11" customWidth="1"/>
    <col min="2" max="2" width="9.1796875" style="11" customWidth="1"/>
    <col min="3" max="3" width="9.1796875" style="11"/>
    <col min="4" max="4" width="17.54296875" style="11" bestFit="1" customWidth="1"/>
    <col min="5" max="5" width="16.453125" style="11" bestFit="1" customWidth="1"/>
    <col min="6" max="6" width="23.1796875" style="11" bestFit="1" customWidth="1"/>
    <col min="7" max="16384" width="9.1796875" style="11"/>
  </cols>
  <sheetData>
    <row r="1" spans="1:6" x14ac:dyDescent="0.3">
      <c r="A1" s="14" t="s">
        <v>27</v>
      </c>
    </row>
    <row r="3" spans="1:6" x14ac:dyDescent="0.3">
      <c r="A3" s="6" t="s">
        <v>0</v>
      </c>
      <c r="B3" s="6" t="s">
        <v>1</v>
      </c>
      <c r="C3" s="6" t="s">
        <v>3</v>
      </c>
      <c r="D3" s="7" t="s">
        <v>5</v>
      </c>
      <c r="E3" s="7" t="s">
        <v>4</v>
      </c>
      <c r="F3" s="7" t="s">
        <v>27</v>
      </c>
    </row>
    <row r="4" spans="1:6" x14ac:dyDescent="0.3">
      <c r="A4" s="24">
        <v>1</v>
      </c>
      <c r="B4" s="24" t="s">
        <v>6</v>
      </c>
      <c r="C4" s="8">
        <v>2018</v>
      </c>
      <c r="D4" s="4">
        <v>34367153</v>
      </c>
      <c r="E4" s="4">
        <v>4658781</v>
      </c>
      <c r="F4" s="13">
        <f>(E4/D4)*100</f>
        <v>13.555911948830909</v>
      </c>
    </row>
    <row r="5" spans="1:6" x14ac:dyDescent="0.3">
      <c r="A5" s="24"/>
      <c r="B5" s="24"/>
      <c r="C5" s="8">
        <v>2019</v>
      </c>
      <c r="D5" s="9">
        <v>38709314</v>
      </c>
      <c r="E5" s="9">
        <v>5360029</v>
      </c>
      <c r="F5" s="13">
        <f t="shared" ref="F5:F53" si="0">(E5/D5)*100</f>
        <v>13.846871582379372</v>
      </c>
    </row>
    <row r="6" spans="1:6" x14ac:dyDescent="0.3">
      <c r="A6" s="24"/>
      <c r="B6" s="24"/>
      <c r="C6" s="8">
        <v>2020</v>
      </c>
      <c r="D6" s="9">
        <v>103588325</v>
      </c>
      <c r="E6" s="9">
        <v>7418574</v>
      </c>
      <c r="F6" s="13">
        <f t="shared" si="0"/>
        <v>7.1615927760198845</v>
      </c>
    </row>
    <row r="7" spans="1:6" x14ac:dyDescent="0.3">
      <c r="A7" s="24"/>
      <c r="B7" s="24"/>
      <c r="C7" s="8">
        <v>2021</v>
      </c>
      <c r="D7" s="9">
        <v>118015311</v>
      </c>
      <c r="E7" s="9">
        <v>7911943</v>
      </c>
      <c r="F7" s="13">
        <f t="shared" si="0"/>
        <v>6.7041665466610514</v>
      </c>
    </row>
    <row r="8" spans="1:6" x14ac:dyDescent="0.3">
      <c r="A8" s="24"/>
      <c r="B8" s="24"/>
      <c r="C8" s="8">
        <v>2022</v>
      </c>
      <c r="D8" s="9">
        <v>115305536</v>
      </c>
      <c r="E8" s="9">
        <v>5722194</v>
      </c>
      <c r="F8" s="13">
        <f t="shared" si="0"/>
        <v>4.9626359657180732</v>
      </c>
    </row>
    <row r="9" spans="1:6" x14ac:dyDescent="0.3">
      <c r="A9" s="24">
        <v>2</v>
      </c>
      <c r="B9" s="24" t="s">
        <v>7</v>
      </c>
      <c r="C9" s="8">
        <v>2018</v>
      </c>
      <c r="D9" s="4">
        <v>96537796</v>
      </c>
      <c r="E9" s="4">
        <v>4961851</v>
      </c>
      <c r="F9" s="13">
        <f t="shared" si="0"/>
        <v>5.1398014100094018</v>
      </c>
    </row>
    <row r="10" spans="1:6" x14ac:dyDescent="0.3">
      <c r="A10" s="24"/>
      <c r="B10" s="24"/>
      <c r="C10" s="8">
        <v>2019</v>
      </c>
      <c r="D10" s="9">
        <v>96198559</v>
      </c>
      <c r="E10" s="9">
        <v>5902729</v>
      </c>
      <c r="F10" s="13">
        <f t="shared" si="0"/>
        <v>6.1359848435983331</v>
      </c>
    </row>
    <row r="11" spans="1:6" x14ac:dyDescent="0.3">
      <c r="A11" s="24"/>
      <c r="B11" s="24"/>
      <c r="C11" s="8">
        <v>2020</v>
      </c>
      <c r="D11" s="9">
        <v>163136516</v>
      </c>
      <c r="E11" s="9">
        <v>8752066</v>
      </c>
      <c r="F11" s="13">
        <f t="shared" si="0"/>
        <v>5.3648724482996801</v>
      </c>
    </row>
    <row r="12" spans="1:6" x14ac:dyDescent="0.3">
      <c r="A12" s="24"/>
      <c r="B12" s="24"/>
      <c r="C12" s="8">
        <v>2021</v>
      </c>
      <c r="D12" s="9">
        <v>179271840</v>
      </c>
      <c r="E12" s="9">
        <v>11229695</v>
      </c>
      <c r="F12" s="13">
        <f t="shared" si="0"/>
        <v>6.2640596537638036</v>
      </c>
    </row>
    <row r="13" spans="1:6" x14ac:dyDescent="0.3">
      <c r="A13" s="24"/>
      <c r="B13" s="24"/>
      <c r="C13" s="8">
        <v>2022</v>
      </c>
      <c r="D13" s="9">
        <v>180433300</v>
      </c>
      <c r="E13" s="9">
        <v>9192569</v>
      </c>
      <c r="F13" s="13">
        <f t="shared" si="0"/>
        <v>5.0947186578087305</v>
      </c>
    </row>
    <row r="14" spans="1:6" x14ac:dyDescent="0.3">
      <c r="A14" s="24">
        <v>3</v>
      </c>
      <c r="B14" s="24" t="s">
        <v>8</v>
      </c>
      <c r="C14" s="8">
        <v>2018</v>
      </c>
      <c r="D14" s="4">
        <v>17591706426634</v>
      </c>
      <c r="E14" s="4">
        <v>1760434280304</v>
      </c>
      <c r="F14" s="13">
        <f t="shared" si="0"/>
        <v>10.007183144204173</v>
      </c>
    </row>
    <row r="15" spans="1:6" x14ac:dyDescent="0.3">
      <c r="A15" s="24"/>
      <c r="B15" s="24"/>
      <c r="C15" s="8">
        <v>2019</v>
      </c>
      <c r="D15" s="9">
        <v>19037918806473</v>
      </c>
      <c r="E15" s="9">
        <v>2051404206764</v>
      </c>
      <c r="F15" s="13">
        <f t="shared" si="0"/>
        <v>10.77535957379181</v>
      </c>
    </row>
    <row r="16" spans="1:6" x14ac:dyDescent="0.3">
      <c r="A16" s="24"/>
      <c r="B16" s="24"/>
      <c r="C16" s="8">
        <v>2020</v>
      </c>
      <c r="D16" s="9">
        <v>19777500514550</v>
      </c>
      <c r="E16" s="9">
        <v>2098168514645</v>
      </c>
      <c r="F16" s="13">
        <f t="shared" si="0"/>
        <v>10.608865933798915</v>
      </c>
    </row>
    <row r="17" spans="1:6" x14ac:dyDescent="0.3">
      <c r="A17" s="24"/>
      <c r="B17" s="24"/>
      <c r="C17" s="8">
        <v>2021</v>
      </c>
      <c r="D17" s="9">
        <v>19917653265528</v>
      </c>
      <c r="E17" s="9">
        <v>1211052647953</v>
      </c>
      <c r="F17" s="13">
        <f t="shared" si="0"/>
        <v>6.0802978734899469</v>
      </c>
    </row>
    <row r="18" spans="1:6" x14ac:dyDescent="0.3">
      <c r="A18" s="24"/>
      <c r="B18" s="24"/>
      <c r="C18" s="8">
        <v>2022</v>
      </c>
      <c r="D18" s="9">
        <v>22276160695411</v>
      </c>
      <c r="E18" s="9">
        <v>1970064538149</v>
      </c>
      <c r="F18" s="13">
        <f t="shared" si="0"/>
        <v>8.8438244142979414</v>
      </c>
    </row>
    <row r="19" spans="1:6" x14ac:dyDescent="0.3">
      <c r="A19" s="24">
        <v>4</v>
      </c>
      <c r="B19" s="24" t="s">
        <v>9</v>
      </c>
      <c r="C19" s="8">
        <v>2018</v>
      </c>
      <c r="D19" s="9">
        <v>4212408305683</v>
      </c>
      <c r="E19" s="9">
        <v>425481597110</v>
      </c>
      <c r="F19" s="13">
        <f t="shared" si="0"/>
        <v>10.100673207200231</v>
      </c>
    </row>
    <row r="20" spans="1:6" x14ac:dyDescent="0.3">
      <c r="A20" s="24"/>
      <c r="B20" s="24"/>
      <c r="C20" s="8">
        <v>2019</v>
      </c>
      <c r="D20" s="9">
        <v>5063067672414</v>
      </c>
      <c r="E20" s="9">
        <v>435766359480</v>
      </c>
      <c r="F20" s="13">
        <f t="shared" si="0"/>
        <v>8.6067654567262117</v>
      </c>
    </row>
    <row r="21" spans="1:6" x14ac:dyDescent="0.3">
      <c r="A21" s="24"/>
      <c r="B21" s="24"/>
      <c r="C21" s="8">
        <v>2020</v>
      </c>
      <c r="D21" s="9">
        <v>6570969641033</v>
      </c>
      <c r="E21" s="9">
        <v>245103761907</v>
      </c>
      <c r="F21" s="13">
        <f t="shared" si="0"/>
        <v>3.730100354998263</v>
      </c>
    </row>
    <row r="22" spans="1:6" x14ac:dyDescent="0.3">
      <c r="A22" s="24"/>
      <c r="B22" s="24"/>
      <c r="C22" s="8">
        <v>2021</v>
      </c>
      <c r="D22" s="9">
        <v>6766602280143</v>
      </c>
      <c r="E22" s="9">
        <v>492637672186</v>
      </c>
      <c r="F22" s="13">
        <f t="shared" si="0"/>
        <v>7.2804289625780836</v>
      </c>
    </row>
    <row r="23" spans="1:6" x14ac:dyDescent="0.3">
      <c r="A23" s="24"/>
      <c r="B23" s="24"/>
      <c r="C23" s="8">
        <v>2022</v>
      </c>
      <c r="D23" s="9">
        <v>7327371934290</v>
      </c>
      <c r="E23" s="9">
        <v>521714035585</v>
      </c>
      <c r="F23" s="13">
        <f t="shared" si="0"/>
        <v>7.1200703371358545</v>
      </c>
    </row>
    <row r="24" spans="1:6" x14ac:dyDescent="0.3">
      <c r="A24" s="24">
        <v>5</v>
      </c>
      <c r="B24" s="24" t="s">
        <v>10</v>
      </c>
      <c r="C24" s="8">
        <v>2018</v>
      </c>
      <c r="D24" s="9">
        <v>4393810380883</v>
      </c>
      <c r="E24" s="9">
        <v>127171436363</v>
      </c>
      <c r="F24" s="13">
        <f t="shared" si="0"/>
        <v>2.8943314649241429</v>
      </c>
    </row>
    <row r="25" spans="1:6" x14ac:dyDescent="0.3">
      <c r="A25" s="24"/>
      <c r="B25" s="24"/>
      <c r="C25" s="8">
        <v>2019</v>
      </c>
      <c r="D25" s="9">
        <v>4682083844951</v>
      </c>
      <c r="E25" s="9">
        <v>236518557420</v>
      </c>
      <c r="F25" s="13">
        <f t="shared" si="0"/>
        <v>5.0515660388067065</v>
      </c>
    </row>
    <row r="26" spans="1:6" x14ac:dyDescent="0.3">
      <c r="A26" s="24"/>
      <c r="B26" s="24"/>
      <c r="C26" s="8">
        <v>2020</v>
      </c>
      <c r="D26" s="9">
        <v>4452166671985</v>
      </c>
      <c r="E26" s="9">
        <v>168610282478</v>
      </c>
      <c r="F26" s="13">
        <f t="shared" si="0"/>
        <v>3.7871511760548051</v>
      </c>
    </row>
    <row r="27" spans="1:6" x14ac:dyDescent="0.3">
      <c r="A27" s="24"/>
      <c r="B27" s="24"/>
      <c r="C27" s="8">
        <v>2021</v>
      </c>
      <c r="D27" s="9">
        <v>4191284422677</v>
      </c>
      <c r="E27" s="9">
        <v>283602993676</v>
      </c>
      <c r="F27" s="13">
        <f t="shared" si="0"/>
        <v>6.7664936347808373</v>
      </c>
    </row>
    <row r="28" spans="1:6" x14ac:dyDescent="0.3">
      <c r="A28" s="24"/>
      <c r="B28" s="24"/>
      <c r="C28" s="8">
        <v>2022</v>
      </c>
      <c r="D28" s="9">
        <v>4130321616083</v>
      </c>
      <c r="E28" s="9">
        <v>432247722254</v>
      </c>
      <c r="F28" s="13">
        <f t="shared" si="0"/>
        <v>10.465231583198674</v>
      </c>
    </row>
    <row r="29" spans="1:6" x14ac:dyDescent="0.3">
      <c r="A29" s="24">
        <v>6</v>
      </c>
      <c r="B29" s="24" t="s">
        <v>11</v>
      </c>
      <c r="C29" s="8">
        <v>2018</v>
      </c>
      <c r="D29" s="9">
        <v>1523517170</v>
      </c>
      <c r="E29" s="9">
        <v>338129985</v>
      </c>
      <c r="F29" s="13">
        <f t="shared" si="0"/>
        <v>22.194038351402369</v>
      </c>
    </row>
    <row r="30" spans="1:6" x14ac:dyDescent="0.3">
      <c r="A30" s="24"/>
      <c r="B30" s="24"/>
      <c r="C30" s="8">
        <v>2019</v>
      </c>
      <c r="D30" s="9">
        <v>1425983722</v>
      </c>
      <c r="E30" s="9">
        <v>317815177</v>
      </c>
      <c r="F30" s="13">
        <f t="shared" si="0"/>
        <v>22.287433727101131</v>
      </c>
    </row>
    <row r="31" spans="1:6" x14ac:dyDescent="0.3">
      <c r="A31" s="24"/>
      <c r="B31" s="24"/>
      <c r="C31" s="8">
        <v>2020</v>
      </c>
      <c r="D31" s="9">
        <v>1225580913</v>
      </c>
      <c r="E31" s="9">
        <v>123465762</v>
      </c>
      <c r="F31" s="13">
        <f t="shared" si="0"/>
        <v>10.074060446794833</v>
      </c>
    </row>
    <row r="32" spans="1:6" x14ac:dyDescent="0.3">
      <c r="A32" s="24"/>
      <c r="B32" s="24"/>
      <c r="C32" s="8">
        <v>2021</v>
      </c>
      <c r="D32" s="9">
        <v>1308722065</v>
      </c>
      <c r="E32" s="9">
        <v>187992998</v>
      </c>
      <c r="F32" s="13">
        <f t="shared" si="0"/>
        <v>14.364623553588515</v>
      </c>
    </row>
    <row r="33" spans="1:6" x14ac:dyDescent="0.3">
      <c r="A33" s="24"/>
      <c r="B33" s="24"/>
      <c r="C33" s="8">
        <v>2022</v>
      </c>
      <c r="D33" s="9">
        <v>1307186367</v>
      </c>
      <c r="E33" s="9">
        <v>230065807</v>
      </c>
      <c r="F33" s="13">
        <f t="shared" si="0"/>
        <v>17.600076990399028</v>
      </c>
    </row>
    <row r="34" spans="1:6" x14ac:dyDescent="0.3">
      <c r="A34" s="24">
        <v>7</v>
      </c>
      <c r="B34" s="21" t="s">
        <v>12</v>
      </c>
      <c r="C34" s="8">
        <v>2018</v>
      </c>
      <c r="D34" s="4">
        <v>747293725435</v>
      </c>
      <c r="E34" s="4">
        <v>31954131252</v>
      </c>
      <c r="F34" s="13">
        <f t="shared" si="0"/>
        <v>4.2759801353075044</v>
      </c>
    </row>
    <row r="35" spans="1:6" x14ac:dyDescent="0.3">
      <c r="A35" s="24"/>
      <c r="B35" s="22"/>
      <c r="C35" s="8">
        <v>2019</v>
      </c>
      <c r="D35" s="9">
        <v>790845543826</v>
      </c>
      <c r="E35" s="9">
        <v>44943627900</v>
      </c>
      <c r="F35" s="13">
        <f t="shared" si="0"/>
        <v>5.6829842756107629</v>
      </c>
    </row>
    <row r="36" spans="1:6" x14ac:dyDescent="0.3">
      <c r="A36" s="24"/>
      <c r="B36" s="22"/>
      <c r="C36" s="8">
        <v>2020</v>
      </c>
      <c r="D36" s="9">
        <v>773863042440</v>
      </c>
      <c r="E36" s="9">
        <v>42520246722</v>
      </c>
      <c r="F36" s="13">
        <f t="shared" si="0"/>
        <v>5.494544175146693</v>
      </c>
    </row>
    <row r="37" spans="1:6" x14ac:dyDescent="0.3">
      <c r="A37" s="24"/>
      <c r="B37" s="22"/>
      <c r="C37" s="8">
        <v>2021</v>
      </c>
      <c r="D37" s="10">
        <v>889125250792</v>
      </c>
      <c r="E37" s="10">
        <v>84524160228</v>
      </c>
      <c r="F37" s="13">
        <f t="shared" si="0"/>
        <v>9.5064401953165767</v>
      </c>
    </row>
    <row r="38" spans="1:6" x14ac:dyDescent="0.3">
      <c r="A38" s="24"/>
      <c r="B38" s="23"/>
      <c r="C38" s="8">
        <v>2022</v>
      </c>
      <c r="D38" s="10">
        <v>1033289474829</v>
      </c>
      <c r="E38" s="10">
        <v>74865302076</v>
      </c>
      <c r="F38" s="13">
        <f t="shared" si="0"/>
        <v>7.2453367521612977</v>
      </c>
    </row>
    <row r="39" spans="1:6" x14ac:dyDescent="0.3">
      <c r="A39" s="24">
        <v>8</v>
      </c>
      <c r="B39" s="24" t="s">
        <v>13</v>
      </c>
      <c r="C39" s="8">
        <v>2018</v>
      </c>
      <c r="D39" s="5">
        <v>1168956042706</v>
      </c>
      <c r="E39" s="4">
        <v>92649656775</v>
      </c>
      <c r="F39" s="13">
        <f t="shared" si="0"/>
        <v>7.9258460874650689</v>
      </c>
    </row>
    <row r="40" spans="1:6" x14ac:dyDescent="0.3">
      <c r="A40" s="24"/>
      <c r="B40" s="24"/>
      <c r="C40" s="8">
        <v>2019</v>
      </c>
      <c r="D40" s="9">
        <v>1393079542074</v>
      </c>
      <c r="E40" s="9">
        <v>215459200242</v>
      </c>
      <c r="F40" s="13">
        <f t="shared" si="0"/>
        <v>15.466396119867424</v>
      </c>
    </row>
    <row r="41" spans="1:6" x14ac:dyDescent="0.3">
      <c r="A41" s="24"/>
      <c r="B41" s="24"/>
      <c r="C41" s="8">
        <v>2020</v>
      </c>
      <c r="D41" s="9">
        <v>1566673828068</v>
      </c>
      <c r="E41" s="9">
        <v>181812593992</v>
      </c>
      <c r="F41" s="13">
        <f t="shared" si="0"/>
        <v>11.605006143251192</v>
      </c>
    </row>
    <row r="42" spans="1:6" x14ac:dyDescent="0.3">
      <c r="A42" s="24"/>
      <c r="B42" s="24"/>
      <c r="C42" s="8">
        <v>2021</v>
      </c>
      <c r="D42" s="9">
        <v>1697387196209</v>
      </c>
      <c r="E42" s="9">
        <v>187066990085</v>
      </c>
      <c r="F42" s="13">
        <f t="shared" si="0"/>
        <v>11.020879060641056</v>
      </c>
    </row>
    <row r="43" spans="1:6" x14ac:dyDescent="0.3">
      <c r="A43" s="24"/>
      <c r="B43" s="24"/>
      <c r="C43" s="8">
        <v>2022</v>
      </c>
      <c r="D43" s="9">
        <v>1718287453575</v>
      </c>
      <c r="E43" s="9">
        <v>220704543072</v>
      </c>
      <c r="F43" s="13">
        <f t="shared" si="0"/>
        <v>12.844448268117828</v>
      </c>
    </row>
    <row r="44" spans="1:6" x14ac:dyDescent="0.3">
      <c r="A44" s="24">
        <v>9</v>
      </c>
      <c r="B44" s="24" t="s">
        <v>14</v>
      </c>
      <c r="C44" s="8">
        <v>2018</v>
      </c>
      <c r="D44" s="9">
        <v>3392980</v>
      </c>
      <c r="E44" s="9">
        <v>50467</v>
      </c>
      <c r="F44" s="13">
        <f t="shared" si="0"/>
        <v>1.4873945617127127</v>
      </c>
    </row>
    <row r="45" spans="1:6" x14ac:dyDescent="0.3">
      <c r="A45" s="24"/>
      <c r="B45" s="24"/>
      <c r="C45" s="8">
        <v>2019</v>
      </c>
      <c r="D45" s="9">
        <v>2999767</v>
      </c>
      <c r="E45" s="9">
        <v>64021</v>
      </c>
      <c r="F45" s="13">
        <f t="shared" si="0"/>
        <v>2.1341990894626148</v>
      </c>
    </row>
    <row r="46" spans="1:6" x14ac:dyDescent="0.3">
      <c r="A46" s="24"/>
      <c r="B46" s="24"/>
      <c r="C46" s="8">
        <v>2020</v>
      </c>
      <c r="D46" s="9">
        <v>2963007</v>
      </c>
      <c r="E46" s="9">
        <v>67093</v>
      </c>
      <c r="F46" s="13">
        <f t="shared" si="0"/>
        <v>2.2643550960223853</v>
      </c>
    </row>
    <row r="47" spans="1:6" x14ac:dyDescent="0.3">
      <c r="A47" s="24"/>
      <c r="B47" s="24"/>
      <c r="C47" s="8">
        <v>2021</v>
      </c>
      <c r="D47" s="9">
        <v>2993218</v>
      </c>
      <c r="E47" s="9">
        <v>91723</v>
      </c>
      <c r="F47" s="13">
        <f t="shared" si="0"/>
        <v>3.0643608317202422</v>
      </c>
    </row>
    <row r="48" spans="1:6" x14ac:dyDescent="0.3">
      <c r="A48" s="24"/>
      <c r="B48" s="24"/>
      <c r="C48" s="8">
        <v>2022</v>
      </c>
      <c r="D48" s="9">
        <v>3173651</v>
      </c>
      <c r="E48" s="9">
        <v>93065</v>
      </c>
      <c r="F48" s="13">
        <f t="shared" si="0"/>
        <v>2.9324270375034938</v>
      </c>
    </row>
    <row r="49" spans="1:6" x14ac:dyDescent="0.3">
      <c r="A49" s="24">
        <v>10</v>
      </c>
      <c r="B49" s="21" t="s">
        <v>15</v>
      </c>
      <c r="C49" s="8">
        <v>2018</v>
      </c>
      <c r="D49" s="9">
        <v>758846556031</v>
      </c>
      <c r="E49" s="9">
        <v>90195136265</v>
      </c>
      <c r="F49" s="13">
        <f t="shared" si="0"/>
        <v>11.88582007102308</v>
      </c>
    </row>
    <row r="50" spans="1:6" x14ac:dyDescent="0.3">
      <c r="A50" s="24"/>
      <c r="B50" s="22"/>
      <c r="C50" s="8">
        <v>2019</v>
      </c>
      <c r="D50" s="9">
        <v>848676035300</v>
      </c>
      <c r="E50" s="9">
        <v>103723133972</v>
      </c>
      <c r="F50" s="13">
        <f t="shared" si="0"/>
        <v>12.221758322106353</v>
      </c>
    </row>
    <row r="51" spans="1:6" x14ac:dyDescent="0.3">
      <c r="A51" s="24"/>
      <c r="B51" s="22"/>
      <c r="C51" s="8">
        <v>2020</v>
      </c>
      <c r="D51" s="9">
        <v>906924214166</v>
      </c>
      <c r="E51" s="9">
        <v>38038419405</v>
      </c>
      <c r="F51" s="13">
        <f t="shared" si="0"/>
        <v>4.1942224952037268</v>
      </c>
    </row>
    <row r="52" spans="1:6" x14ac:dyDescent="0.3">
      <c r="A52" s="24"/>
      <c r="B52" s="22"/>
      <c r="C52" s="8">
        <v>2021</v>
      </c>
      <c r="D52" s="10">
        <v>987563580363</v>
      </c>
      <c r="E52" s="10">
        <v>11844682161</v>
      </c>
      <c r="F52" s="13">
        <f t="shared" si="0"/>
        <v>1.1993842620893569</v>
      </c>
    </row>
    <row r="53" spans="1:6" x14ac:dyDescent="0.3">
      <c r="A53" s="24"/>
      <c r="B53" s="23"/>
      <c r="C53" s="8">
        <v>2022</v>
      </c>
      <c r="D53" s="10">
        <v>811603660216</v>
      </c>
      <c r="E53" s="10">
        <v>90572477</v>
      </c>
      <c r="F53" s="13">
        <f t="shared" si="0"/>
        <v>1.1159693017635612E-2</v>
      </c>
    </row>
  </sheetData>
  <mergeCells count="20">
    <mergeCell ref="A49:A53"/>
    <mergeCell ref="B49:B53"/>
    <mergeCell ref="A34:A38"/>
    <mergeCell ref="B34:B38"/>
    <mergeCell ref="A39:A43"/>
    <mergeCell ref="B39:B43"/>
    <mergeCell ref="A44:A48"/>
    <mergeCell ref="B44:B48"/>
    <mergeCell ref="A19:A23"/>
    <mergeCell ref="B19:B23"/>
    <mergeCell ref="A24:A28"/>
    <mergeCell ref="B24:B28"/>
    <mergeCell ref="A29:A33"/>
    <mergeCell ref="B29:B33"/>
    <mergeCell ref="A4:A8"/>
    <mergeCell ref="B4:B8"/>
    <mergeCell ref="A9:A13"/>
    <mergeCell ref="B9:B13"/>
    <mergeCell ref="A14:A18"/>
    <mergeCell ref="B14:B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59D3-52A7-4E6F-AD20-3A324D649B52}">
  <dimension ref="A1:L51"/>
  <sheetViews>
    <sheetView workbookViewId="0">
      <selection sqref="A1:L51"/>
    </sheetView>
  </sheetViews>
  <sheetFormatPr defaultRowHeight="14.5" x14ac:dyDescent="0.35"/>
  <sheetData>
    <row r="1" spans="1:12" x14ac:dyDescent="0.35">
      <c r="A1" s="6" t="s">
        <v>1</v>
      </c>
      <c r="B1" s="6" t="s">
        <v>3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 spans="1:12" x14ac:dyDescent="0.35">
      <c r="A2" s="19" t="s">
        <v>6</v>
      </c>
      <c r="B2" s="8">
        <v>2018</v>
      </c>
      <c r="C2">
        <v>0.51349478027845852</v>
      </c>
      <c r="D2">
        <v>0.55070628990716675</v>
      </c>
      <c r="E2">
        <v>1.951733408445534</v>
      </c>
      <c r="F2">
        <v>17.352611811528359</v>
      </c>
      <c r="G2">
        <v>13.555911948830909</v>
      </c>
      <c r="H2">
        <v>8.6896939655682251E-2</v>
      </c>
      <c r="I2">
        <f>C2*G2</f>
        <v>6.9608900276390582</v>
      </c>
      <c r="J2">
        <f>D2*G2</f>
        <v>7.4653259756489003</v>
      </c>
      <c r="K2">
        <f>E2*G2</f>
        <v>26.457526232479292</v>
      </c>
      <c r="L2">
        <f>F2*G2</f>
        <v>235.23047779932165</v>
      </c>
    </row>
    <row r="3" spans="1:12" x14ac:dyDescent="0.35">
      <c r="A3" s="19" t="s">
        <v>6</v>
      </c>
      <c r="B3" s="8">
        <v>2019</v>
      </c>
      <c r="C3">
        <v>0.45135776906722719</v>
      </c>
      <c r="D3">
        <v>0.2980732007233543</v>
      </c>
      <c r="E3">
        <v>2.5356947354469148</v>
      </c>
      <c r="F3">
        <v>17.471590800877816</v>
      </c>
      <c r="G3">
        <v>13.846871582379372</v>
      </c>
      <c r="H3">
        <v>0.12634625277223283</v>
      </c>
      <c r="I3">
        <f t="shared" ref="I3:I51" si="0">C3*G3</f>
        <v>6.2498930659831391</v>
      </c>
      <c r="J3">
        <f t="shared" ref="J3:J51" si="1">D3*G3</f>
        <v>4.1273813325650774</v>
      </c>
      <c r="K3">
        <f t="shared" ref="K3:K51" si="2">E3*G3</f>
        <v>35.11143937384886</v>
      </c>
      <c r="L3">
        <f t="shared" ref="L3:L51" si="3">F3*G3</f>
        <v>241.92687415963587</v>
      </c>
    </row>
    <row r="4" spans="1:12" x14ac:dyDescent="0.35">
      <c r="A4" s="19" t="s">
        <v>6</v>
      </c>
      <c r="B4" s="8">
        <v>2020</v>
      </c>
      <c r="C4">
        <v>1.0586711691726227</v>
      </c>
      <c r="D4">
        <v>0.33797735252084837</v>
      </c>
      <c r="E4">
        <v>2.257612549209016</v>
      </c>
      <c r="F4">
        <v>18.455935188389123</v>
      </c>
      <c r="G4">
        <v>7.1615927760198845</v>
      </c>
      <c r="H4">
        <v>1.6760568528804205</v>
      </c>
      <c r="I4">
        <f t="shared" si="0"/>
        <v>7.5817717973271801</v>
      </c>
      <c r="J4">
        <f t="shared" si="1"/>
        <v>2.4204561662716335</v>
      </c>
      <c r="K4">
        <f t="shared" si="2"/>
        <v>16.168101723467124</v>
      </c>
      <c r="L4">
        <f t="shared" si="3"/>
        <v>132.17389211985872</v>
      </c>
    </row>
    <row r="5" spans="1:12" x14ac:dyDescent="0.35">
      <c r="A5" s="19" t="s">
        <v>6</v>
      </c>
      <c r="B5" s="8">
        <v>2021</v>
      </c>
      <c r="C5">
        <v>1.1480525506389108</v>
      </c>
      <c r="D5">
        <v>0.31690192914686066</v>
      </c>
      <c r="E5">
        <v>1.7991848914272566</v>
      </c>
      <c r="F5">
        <v>18.586324928249873</v>
      </c>
      <c r="G5">
        <v>6.7041665466610514</v>
      </c>
      <c r="H5">
        <v>0.13927231664379167</v>
      </c>
      <c r="I5">
        <f t="shared" si="0"/>
        <v>7.6967355038022784</v>
      </c>
      <c r="J5">
        <f t="shared" si="1"/>
        <v>2.1245633119587342</v>
      </c>
      <c r="K5">
        <f t="shared" si="2"/>
        <v>12.062035160364609</v>
      </c>
      <c r="L5">
        <f t="shared" si="3"/>
        <v>124.60581780934517</v>
      </c>
    </row>
    <row r="6" spans="1:12" x14ac:dyDescent="0.35">
      <c r="A6" s="19" t="s">
        <v>6</v>
      </c>
      <c r="B6" s="8">
        <v>2022</v>
      </c>
      <c r="C6">
        <v>1.0062554931221885</v>
      </c>
      <c r="D6">
        <v>0.43817284069711721</v>
      </c>
      <c r="E6">
        <v>3.0965284307701815</v>
      </c>
      <c r="F6">
        <v>18.563095997963501</v>
      </c>
      <c r="G6">
        <v>4.9626359657180732</v>
      </c>
      <c r="H6">
        <v>-2.2961215600236819E-2</v>
      </c>
      <c r="I6">
        <f t="shared" si="0"/>
        <v>4.9936797008695484</v>
      </c>
      <c r="J6">
        <f t="shared" si="1"/>
        <v>2.1744922984443695</v>
      </c>
      <c r="K6">
        <f t="shared" si="2"/>
        <v>15.36694335940865</v>
      </c>
      <c r="L6">
        <f t="shared" si="3"/>
        <v>92.121887834570899</v>
      </c>
    </row>
    <row r="7" spans="1:12" x14ac:dyDescent="0.35">
      <c r="A7" s="19" t="s">
        <v>7</v>
      </c>
      <c r="B7" s="8">
        <v>2018</v>
      </c>
      <c r="C7">
        <v>0.933974052823899</v>
      </c>
      <c r="D7">
        <v>0.53441528171644015</v>
      </c>
      <c r="E7">
        <v>1.0662898743248563</v>
      </c>
      <c r="F7">
        <v>18.385445158020953</v>
      </c>
      <c r="G7">
        <v>5.1398014100094018</v>
      </c>
      <c r="H7">
        <v>9.2045681854491107E-2</v>
      </c>
      <c r="I7">
        <f t="shared" si="0"/>
        <v>4.8004411536164717</v>
      </c>
      <c r="J7">
        <f t="shared" si="1"/>
        <v>2.7467884184967306</v>
      </c>
      <c r="K7">
        <f t="shared" si="2"/>
        <v>5.4805181995336447</v>
      </c>
      <c r="L7">
        <f t="shared" si="3"/>
        <v>94.497536946846623</v>
      </c>
    </row>
    <row r="8" spans="1:12" x14ac:dyDescent="0.35">
      <c r="A8" s="19" t="s">
        <v>7</v>
      </c>
      <c r="B8" s="8">
        <v>2019</v>
      </c>
      <c r="C8">
        <v>0.77479969185178366</v>
      </c>
      <c r="D8">
        <v>0.25436590431307282</v>
      </c>
      <c r="E8">
        <v>1.2720711526641175</v>
      </c>
      <c r="F8">
        <v>18.381924936313766</v>
      </c>
      <c r="G8">
        <v>6.1359848435983331</v>
      </c>
      <c r="H8">
        <v>-3.5140329907676782E-3</v>
      </c>
      <c r="I8">
        <f t="shared" si="0"/>
        <v>4.7541591660272031</v>
      </c>
      <c r="J8">
        <f t="shared" si="1"/>
        <v>1.5607853335931987</v>
      </c>
      <c r="K8">
        <f t="shared" si="2"/>
        <v>7.8054093127256863</v>
      </c>
      <c r="L8">
        <f t="shared" si="3"/>
        <v>112.79121280538352</v>
      </c>
    </row>
    <row r="9" spans="1:12" x14ac:dyDescent="0.35">
      <c r="A9" s="19" t="s">
        <v>7</v>
      </c>
      <c r="B9" s="8">
        <v>2020</v>
      </c>
      <c r="C9">
        <v>1.0614170853148708</v>
      </c>
      <c r="D9">
        <v>0.27890089037262744</v>
      </c>
      <c r="E9">
        <v>1.3732631419035151</v>
      </c>
      <c r="F9">
        <v>18.910097929718024</v>
      </c>
      <c r="G9">
        <v>5.3648724482996801</v>
      </c>
      <c r="H9">
        <v>0.69583118183714165</v>
      </c>
      <c r="I9">
        <f t="shared" si="0"/>
        <v>5.6943672771603016</v>
      </c>
      <c r="J9">
        <f t="shared" si="1"/>
        <v>1.4962677025663584</v>
      </c>
      <c r="K9">
        <f t="shared" si="2"/>
        <v>7.3673815942636223</v>
      </c>
      <c r="L9">
        <f t="shared" si="3"/>
        <v>101.45026337779305</v>
      </c>
    </row>
    <row r="10" spans="1:12" x14ac:dyDescent="0.35">
      <c r="A10" s="19" t="s">
        <v>7</v>
      </c>
      <c r="B10" s="8">
        <v>2021</v>
      </c>
      <c r="C10">
        <v>1.0609154460952099</v>
      </c>
      <c r="D10">
        <v>0.21736645563392415</v>
      </c>
      <c r="E10">
        <v>1.3410602482899707</v>
      </c>
      <c r="F10">
        <v>19.004413871026177</v>
      </c>
      <c r="G10">
        <v>6.2640596537638036</v>
      </c>
      <c r="H10">
        <v>9.8906881154676621E-2</v>
      </c>
      <c r="I10">
        <f t="shared" si="0"/>
        <v>6.6456376419398318</v>
      </c>
      <c r="J10">
        <f t="shared" si="1"/>
        <v>1.3615964448181042</v>
      </c>
      <c r="K10">
        <f t="shared" si="2"/>
        <v>8.4004813945796748</v>
      </c>
      <c r="L10">
        <f t="shared" si="3"/>
        <v>119.04478217292426</v>
      </c>
    </row>
    <row r="11" spans="1:12" x14ac:dyDescent="0.35">
      <c r="A11" s="19" t="s">
        <v>7</v>
      </c>
      <c r="B11" s="8">
        <v>2022</v>
      </c>
      <c r="C11">
        <v>0.92723184223096888</v>
      </c>
      <c r="D11">
        <v>0.265536108567692</v>
      </c>
      <c r="E11">
        <v>1.7860044128183279</v>
      </c>
      <c r="F11">
        <v>19.010871738358642</v>
      </c>
      <c r="G11">
        <v>5.0947186578087305</v>
      </c>
      <c r="H11">
        <v>6.4787643168051383E-3</v>
      </c>
      <c r="I11">
        <f t="shared" si="0"/>
        <v>4.7239853667284786</v>
      </c>
      <c r="J11">
        <f t="shared" si="1"/>
        <v>1.3528317666417451</v>
      </c>
      <c r="K11">
        <f t="shared" si="2"/>
        <v>9.0991900049142611</v>
      </c>
      <c r="L11">
        <f t="shared" si="3"/>
        <v>96.855042946624465</v>
      </c>
    </row>
    <row r="12" spans="1:12" x14ac:dyDescent="0.35">
      <c r="A12" s="19" t="s">
        <v>8</v>
      </c>
      <c r="B12" s="8">
        <v>2018</v>
      </c>
      <c r="C12">
        <v>1.0593052180567091</v>
      </c>
      <c r="D12">
        <v>0.3429181647557743</v>
      </c>
      <c r="E12">
        <v>2.6545977866019146</v>
      </c>
      <c r="F12">
        <v>30.498448681151473</v>
      </c>
      <c r="G12">
        <v>10.007183144204173</v>
      </c>
      <c r="H12">
        <v>0.17939686053542664</v>
      </c>
      <c r="I12">
        <f t="shared" si="0"/>
        <v>10.600661322704626</v>
      </c>
      <c r="J12">
        <f t="shared" si="1"/>
        <v>3.4316448781854141</v>
      </c>
      <c r="K12">
        <f t="shared" si="2"/>
        <v>26.565046224724387</v>
      </c>
      <c r="L12">
        <f t="shared" si="3"/>
        <v>305.20356156639502</v>
      </c>
    </row>
    <row r="13" spans="1:12" x14ac:dyDescent="0.35">
      <c r="A13" s="19" t="s">
        <v>8</v>
      </c>
      <c r="B13" s="8">
        <v>2019</v>
      </c>
      <c r="C13">
        <v>0.92070557643858097</v>
      </c>
      <c r="D13">
        <v>0.31607729470723184</v>
      </c>
      <c r="E13">
        <v>3.4396516133333934</v>
      </c>
      <c r="F13">
        <v>30.577453832934669</v>
      </c>
      <c r="G13">
        <v>10.77535957379181</v>
      </c>
      <c r="H13">
        <v>8.2209897366717175E-2</v>
      </c>
      <c r="I13">
        <f t="shared" si="0"/>
        <v>9.9209336477209717</v>
      </c>
      <c r="J13">
        <f t="shared" si="1"/>
        <v>3.405846503581786</v>
      </c>
      <c r="K13">
        <f t="shared" si="2"/>
        <v>37.063482942240427</v>
      </c>
      <c r="L13">
        <f t="shared" si="3"/>
        <v>329.48305990088966</v>
      </c>
    </row>
    <row r="14" spans="1:12" x14ac:dyDescent="0.35">
      <c r="A14" s="19" t="s">
        <v>8</v>
      </c>
      <c r="B14" s="8">
        <v>2020</v>
      </c>
      <c r="C14">
        <v>0.75465169460545078</v>
      </c>
      <c r="D14">
        <v>0.31968880815251843</v>
      </c>
      <c r="E14">
        <v>3.6942541835667053</v>
      </c>
      <c r="F14">
        <v>30.6155660698589</v>
      </c>
      <c r="G14">
        <v>10.608865933798915</v>
      </c>
      <c r="H14">
        <v>3.8847823419939052E-2</v>
      </c>
      <c r="I14">
        <f t="shared" si="0"/>
        <v>8.0059986547833901</v>
      </c>
      <c r="J14">
        <f t="shared" si="1"/>
        <v>3.3915357062260298</v>
      </c>
      <c r="K14">
        <f t="shared" si="2"/>
        <v>39.191847358834941</v>
      </c>
      <c r="L14">
        <f t="shared" si="3"/>
        <v>324.79643592249602</v>
      </c>
    </row>
    <row r="15" spans="1:12" x14ac:dyDescent="0.35">
      <c r="A15" s="19" t="s">
        <v>8</v>
      </c>
      <c r="B15" s="8">
        <v>2021</v>
      </c>
      <c r="C15">
        <v>0.75330970232217331</v>
      </c>
      <c r="D15">
        <v>0.96003455148311734</v>
      </c>
      <c r="E15">
        <v>2.3281836799417848</v>
      </c>
      <c r="F15">
        <v>30.622627553189677</v>
      </c>
      <c r="G15">
        <v>6.0802978734899469</v>
      </c>
      <c r="H15">
        <v>7.0864743942184102E-3</v>
      </c>
      <c r="I15">
        <f t="shared" si="0"/>
        <v>4.5803473811088553</v>
      </c>
      <c r="J15">
        <f t="shared" si="1"/>
        <v>5.8372960418596733</v>
      </c>
      <c r="K15">
        <f t="shared" si="2"/>
        <v>14.156050278244033</v>
      </c>
      <c r="L15">
        <f t="shared" si="3"/>
        <v>186.19469719233385</v>
      </c>
    </row>
    <row r="16" spans="1:12" x14ac:dyDescent="0.35">
      <c r="A16" s="19" t="s">
        <v>8</v>
      </c>
      <c r="B16" s="8">
        <v>2022</v>
      </c>
      <c r="C16">
        <v>0.73562069639613481</v>
      </c>
      <c r="D16">
        <v>0.238333661224193</v>
      </c>
      <c r="E16">
        <v>2.6208268147691722</v>
      </c>
      <c r="F16">
        <v>30.734538195465962</v>
      </c>
      <c r="G16">
        <v>8.8438244142979414</v>
      </c>
      <c r="H16">
        <v>0.11841291734729262</v>
      </c>
      <c r="I16">
        <f t="shared" si="0"/>
        <v>6.5057002744509909</v>
      </c>
      <c r="J16">
        <f t="shared" si="1"/>
        <v>2.1077810518835327</v>
      </c>
      <c r="K16">
        <f t="shared" si="2"/>
        <v>23.178132170102312</v>
      </c>
      <c r="L16">
        <f t="shared" si="3"/>
        <v>271.81085925523445</v>
      </c>
    </row>
    <row r="17" spans="1:12" x14ac:dyDescent="0.35">
      <c r="A17" s="19" t="s">
        <v>9</v>
      </c>
      <c r="B17" s="8">
        <v>2018</v>
      </c>
      <c r="C17">
        <v>0.69213222544372432</v>
      </c>
      <c r="D17">
        <v>0.43029391278153839</v>
      </c>
      <c r="E17">
        <v>1.1824947072516552</v>
      </c>
      <c r="F17">
        <v>29.069055644173204</v>
      </c>
      <c r="G17">
        <v>10.100673207200231</v>
      </c>
      <c r="H17">
        <v>0.18186042419164403</v>
      </c>
      <c r="I17">
        <f t="shared" si="0"/>
        <v>6.991001425379296</v>
      </c>
      <c r="J17">
        <f t="shared" si="1"/>
        <v>4.3462581960538378</v>
      </c>
      <c r="K17">
        <f t="shared" si="2"/>
        <v>11.943992607192873</v>
      </c>
      <c r="L17">
        <f t="shared" si="3"/>
        <v>293.61703150371295</v>
      </c>
    </row>
    <row r="18" spans="1:12" x14ac:dyDescent="0.35">
      <c r="A18" s="19" t="s">
        <v>9</v>
      </c>
      <c r="B18" s="8">
        <v>2019</v>
      </c>
      <c r="C18">
        <v>0.83078273598485042</v>
      </c>
      <c r="D18">
        <v>0.30378606595508828</v>
      </c>
      <c r="E18">
        <v>1.5337941012734178</v>
      </c>
      <c r="F18">
        <v>29.252993674897308</v>
      </c>
      <c r="G18">
        <v>8.6067654567262117</v>
      </c>
      <c r="H18">
        <v>0.20194133735406594</v>
      </c>
      <c r="I18">
        <f t="shared" si="0"/>
        <v>7.1503521541189032</v>
      </c>
      <c r="J18">
        <f t="shared" si="1"/>
        <v>2.6146154186970043</v>
      </c>
      <c r="K18">
        <f t="shared" si="2"/>
        <v>13.201006088570477</v>
      </c>
      <c r="L18">
        <f t="shared" si="3"/>
        <v>251.7736554669365</v>
      </c>
    </row>
    <row r="19" spans="1:12" x14ac:dyDescent="0.35">
      <c r="A19" s="19" t="s">
        <v>9</v>
      </c>
      <c r="B19" s="8">
        <v>2020</v>
      </c>
      <c r="C19">
        <v>1.2702066480283596</v>
      </c>
      <c r="D19">
        <v>0.87222662623235081</v>
      </c>
      <c r="E19">
        <v>1.7512458568117693</v>
      </c>
      <c r="F19">
        <v>29.513682523689489</v>
      </c>
      <c r="G19">
        <v>3.730100354998263</v>
      </c>
      <c r="H19">
        <v>0.2978237831650497</v>
      </c>
      <c r="I19">
        <f t="shared" si="0"/>
        <v>4.7379982687317375</v>
      </c>
      <c r="J19">
        <f t="shared" si="1"/>
        <v>3.253492848148229</v>
      </c>
      <c r="K19">
        <f t="shared" si="2"/>
        <v>6.5323227921828178</v>
      </c>
      <c r="L19">
        <f t="shared" si="3"/>
        <v>110.08899765892019</v>
      </c>
    </row>
    <row r="20" spans="1:12" x14ac:dyDescent="0.35">
      <c r="A20" s="19" t="s">
        <v>9</v>
      </c>
      <c r="B20" s="8">
        <v>2021</v>
      </c>
      <c r="C20">
        <v>1.2242197458928445</v>
      </c>
      <c r="D20">
        <v>0.2677910766600709</v>
      </c>
      <c r="E20">
        <v>1.475401169972113</v>
      </c>
      <c r="F20">
        <v>29.543020198013107</v>
      </c>
      <c r="G20">
        <v>7.2804289625780836</v>
      </c>
      <c r="H20">
        <v>2.9772263424922056E-2</v>
      </c>
      <c r="I20">
        <f t="shared" si="0"/>
        <v>8.9128448945582477</v>
      </c>
      <c r="J20">
        <f t="shared" si="1"/>
        <v>1.9496339104359481</v>
      </c>
      <c r="K20">
        <f t="shared" si="2"/>
        <v>10.741553409286562</v>
      </c>
      <c r="L20">
        <f t="shared" si="3"/>
        <v>215.08585989164393</v>
      </c>
    </row>
    <row r="21" spans="1:12" x14ac:dyDescent="0.35">
      <c r="A21" s="19" t="s">
        <v>9</v>
      </c>
      <c r="B21" s="8">
        <v>2022</v>
      </c>
      <c r="C21">
        <v>1.1863324693322685</v>
      </c>
      <c r="D21">
        <v>0.4245784737296201</v>
      </c>
      <c r="E21">
        <v>1.7406860321646123</v>
      </c>
      <c r="F21">
        <v>29.622638031970332</v>
      </c>
      <c r="G21">
        <v>7.1200703371358545</v>
      </c>
      <c r="H21">
        <v>8.2873151240558676E-2</v>
      </c>
      <c r="I21">
        <f t="shared" si="0"/>
        <v>8.4467706248738157</v>
      </c>
      <c r="J21">
        <f t="shared" si="1"/>
        <v>3.0230285965886825</v>
      </c>
      <c r="K21">
        <f t="shared" si="2"/>
        <v>12.393806983881964</v>
      </c>
      <c r="L21">
        <f t="shared" si="3"/>
        <v>210.9152663591444</v>
      </c>
    </row>
    <row r="22" spans="1:12" x14ac:dyDescent="0.35">
      <c r="A22" s="19" t="s">
        <v>10</v>
      </c>
      <c r="B22" s="8">
        <v>2018</v>
      </c>
      <c r="C22">
        <v>0.50632818870315277</v>
      </c>
      <c r="D22">
        <v>0.28312462576286201</v>
      </c>
      <c r="E22">
        <v>3.5712413324466987</v>
      </c>
      <c r="F22">
        <v>29.111217934859436</v>
      </c>
      <c r="G22">
        <v>2.8943314649241429</v>
      </c>
      <c r="H22">
        <v>-3.6355005772987732E-2</v>
      </c>
      <c r="I22">
        <f t="shared" si="0"/>
        <v>1.465481608141584</v>
      </c>
      <c r="J22">
        <f t="shared" si="1"/>
        <v>0.81945651284032417</v>
      </c>
      <c r="K22">
        <f t="shared" si="2"/>
        <v>10.336356157338102</v>
      </c>
      <c r="L22">
        <f t="shared" si="3"/>
        <v>84.2575140511277</v>
      </c>
    </row>
    <row r="23" spans="1:12" x14ac:dyDescent="0.35">
      <c r="A23" s="19" t="s">
        <v>10</v>
      </c>
      <c r="B23" s="8">
        <v>2019</v>
      </c>
      <c r="C23">
        <v>0.51396488808967122</v>
      </c>
      <c r="D23">
        <v>0.25251625213045409</v>
      </c>
      <c r="E23">
        <v>1.6933292605390402</v>
      </c>
      <c r="F23">
        <v>29.174764392771777</v>
      </c>
      <c r="G23">
        <v>5.0515660388067065</v>
      </c>
      <c r="H23">
        <v>6.5608990620589155E-2</v>
      </c>
      <c r="I23">
        <f t="shared" si="0"/>
        <v>2.5963275738128728</v>
      </c>
      <c r="J23">
        <f t="shared" si="1"/>
        <v>1.2756025235089534</v>
      </c>
      <c r="K23">
        <f t="shared" si="2"/>
        <v>8.5539645850566881</v>
      </c>
      <c r="L23">
        <f t="shared" si="3"/>
        <v>147.37824899671307</v>
      </c>
    </row>
    <row r="24" spans="1:12" x14ac:dyDescent="0.35">
      <c r="A24" s="19" t="s">
        <v>10</v>
      </c>
      <c r="B24" s="8">
        <v>2020</v>
      </c>
      <c r="C24">
        <v>0.37937435573392786</v>
      </c>
      <c r="D24">
        <v>0.88683050517106077</v>
      </c>
      <c r="E24">
        <v>3.8303081877750129</v>
      </c>
      <c r="F24">
        <v>29.124411986193863</v>
      </c>
      <c r="G24">
        <v>3.7871511760548051</v>
      </c>
      <c r="H24">
        <v>-4.9105735945744515E-2</v>
      </c>
      <c r="I24">
        <f t="shared" si="0"/>
        <v>1.4367480374827788</v>
      </c>
      <c r="J24">
        <f t="shared" si="1"/>
        <v>3.3585611906198598</v>
      </c>
      <c r="K24">
        <f t="shared" si="2"/>
        <v>14.505956157984489</v>
      </c>
      <c r="L24">
        <f t="shared" si="3"/>
        <v>110.29855110541875</v>
      </c>
    </row>
    <row r="25" spans="1:12" x14ac:dyDescent="0.35">
      <c r="A25" s="19" t="s">
        <v>10</v>
      </c>
      <c r="B25" s="8">
        <v>2021</v>
      </c>
      <c r="C25">
        <v>0.4605858906442909</v>
      </c>
      <c r="D25">
        <v>1.0482599097054532</v>
      </c>
      <c r="E25">
        <v>2.6531916382646652</v>
      </c>
      <c r="F25">
        <v>29.064028347678988</v>
      </c>
      <c r="G25">
        <v>6.7664936347808373</v>
      </c>
      <c r="H25">
        <v>-5.8596694267891269E-2</v>
      </c>
      <c r="I25">
        <f t="shared" si="0"/>
        <v>3.116551497314457</v>
      </c>
      <c r="J25">
        <f t="shared" si="1"/>
        <v>7.0930440066178848</v>
      </c>
      <c r="K25">
        <f t="shared" si="2"/>
        <v>17.952804332171599</v>
      </c>
      <c r="L25">
        <f t="shared" si="3"/>
        <v>196.66156281565969</v>
      </c>
    </row>
    <row r="26" spans="1:12" x14ac:dyDescent="0.35">
      <c r="A26" s="19" t="s">
        <v>10</v>
      </c>
      <c r="B26" s="8">
        <v>2022</v>
      </c>
      <c r="C26">
        <v>0.54049883897841289</v>
      </c>
      <c r="D26">
        <v>0.80078982684285693</v>
      </c>
      <c r="E26">
        <v>2.0993392098333468</v>
      </c>
      <c r="F26">
        <v>29.049376393013116</v>
      </c>
      <c r="G26">
        <v>10.465231583198674</v>
      </c>
      <c r="H26">
        <v>-1.4545137109798592E-2</v>
      </c>
      <c r="I26">
        <f t="shared" si="0"/>
        <v>5.6564455203591013</v>
      </c>
      <c r="J26">
        <f t="shared" si="1"/>
        <v>8.3804509873800637</v>
      </c>
      <c r="K26">
        <f t="shared" si="2"/>
        <v>21.97007100259529</v>
      </c>
      <c r="L26">
        <f t="shared" si="3"/>
        <v>304.00845130038687</v>
      </c>
    </row>
    <row r="27" spans="1:12" x14ac:dyDescent="0.35">
      <c r="A27" s="19" t="s">
        <v>11</v>
      </c>
      <c r="B27" s="8">
        <v>2018</v>
      </c>
      <c r="C27">
        <v>0.18638849139849692</v>
      </c>
      <c r="D27">
        <v>0.6156548139319854</v>
      </c>
      <c r="E27">
        <v>7.1982791166397364</v>
      </c>
      <c r="F27">
        <v>21.144287426428271</v>
      </c>
      <c r="G27">
        <v>22.194038351402369</v>
      </c>
      <c r="H27">
        <v>0.13623849847897715</v>
      </c>
      <c r="I27">
        <f t="shared" si="0"/>
        <v>4.1367133263582714</v>
      </c>
      <c r="J27">
        <f t="shared" si="1"/>
        <v>13.663866551631974</v>
      </c>
      <c r="K27">
        <f t="shared" si="2"/>
        <v>159.75888277880108</v>
      </c>
      <c r="L27">
        <f t="shared" si="3"/>
        <v>469.27712605522396</v>
      </c>
    </row>
    <row r="28" spans="1:12" x14ac:dyDescent="0.35">
      <c r="A28" s="19" t="s">
        <v>11</v>
      </c>
      <c r="B28" s="8">
        <v>2019</v>
      </c>
      <c r="C28">
        <v>0.17503856980411797</v>
      </c>
      <c r="D28">
        <v>1.20237884045418</v>
      </c>
      <c r="E28">
        <v>8.0504783119204717</v>
      </c>
      <c r="F28">
        <v>21.078127743726096</v>
      </c>
      <c r="G28">
        <v>22.287433727101131</v>
      </c>
      <c r="H28">
        <v>-6.4018607680017159E-2</v>
      </c>
      <c r="I28">
        <f t="shared" si="0"/>
        <v>3.9011605241958445</v>
      </c>
      <c r="J28">
        <f t="shared" si="1"/>
        <v>26.797938721491242</v>
      </c>
      <c r="K28">
        <f t="shared" si="2"/>
        <v>179.42450184839251</v>
      </c>
      <c r="L28">
        <f t="shared" si="3"/>
        <v>469.77737517966705</v>
      </c>
    </row>
    <row r="29" spans="1:12" x14ac:dyDescent="0.35">
      <c r="A29" s="19" t="s">
        <v>11</v>
      </c>
      <c r="B29" s="8">
        <v>2020</v>
      </c>
      <c r="C29">
        <v>0.20166894708373187</v>
      </c>
      <c r="D29">
        <v>2.5246799756518734</v>
      </c>
      <c r="E29">
        <v>7.4984666968045879</v>
      </c>
      <c r="F29">
        <v>20.926680783232726</v>
      </c>
      <c r="G29">
        <v>10.074060446794833</v>
      </c>
      <c r="H29">
        <v>-0.14053653341773562</v>
      </c>
      <c r="I29">
        <f t="shared" si="0"/>
        <v>2.0316251631629836</v>
      </c>
      <c r="J29">
        <f t="shared" si="1"/>
        <v>25.433778683529482</v>
      </c>
      <c r="K29">
        <f t="shared" si="2"/>
        <v>75.540006761887412</v>
      </c>
      <c r="L29">
        <f t="shared" si="3"/>
        <v>210.81664716106633</v>
      </c>
    </row>
    <row r="30" spans="1:12" x14ac:dyDescent="0.35">
      <c r="A30" s="19" t="s">
        <v>11</v>
      </c>
      <c r="B30" s="8">
        <v>2021</v>
      </c>
      <c r="C30">
        <v>0.29554120673844259</v>
      </c>
      <c r="D30">
        <v>1.0626179970809337</v>
      </c>
      <c r="E30">
        <v>4.8090118831495632</v>
      </c>
      <c r="F30">
        <v>20.992316975126567</v>
      </c>
      <c r="G30">
        <v>14.364623553588515</v>
      </c>
      <c r="H30">
        <v>6.7838158311788271E-2</v>
      </c>
      <c r="I30">
        <f t="shared" si="0"/>
        <v>4.2453381793710054</v>
      </c>
      <c r="J30">
        <f t="shared" si="1"/>
        <v>15.264107509335833</v>
      </c>
      <c r="K30">
        <f t="shared" si="2"/>
        <v>69.079645366177274</v>
      </c>
      <c r="L30">
        <f t="shared" si="3"/>
        <v>301.54673086529908</v>
      </c>
    </row>
    <row r="31" spans="1:12" x14ac:dyDescent="0.35">
      <c r="A31" s="19" t="s">
        <v>11</v>
      </c>
      <c r="B31" s="8">
        <v>2022</v>
      </c>
      <c r="C31">
        <v>0.30617295312172621</v>
      </c>
      <c r="D31">
        <v>1.0422459648686517</v>
      </c>
      <c r="E31">
        <v>4.5639072468543747</v>
      </c>
      <c r="F31">
        <v>20.991142852854061</v>
      </c>
      <c r="G31">
        <v>17.600076990399028</v>
      </c>
      <c r="H31">
        <v>-1.1734332606365891E-3</v>
      </c>
      <c r="I31">
        <f t="shared" si="0"/>
        <v>5.3886675473202139</v>
      </c>
      <c r="J31">
        <f t="shared" si="1"/>
        <v>18.343609224620991</v>
      </c>
      <c r="K31">
        <f t="shared" si="2"/>
        <v>80.32511892167706</v>
      </c>
      <c r="L31">
        <f t="shared" si="3"/>
        <v>369.44573032669575</v>
      </c>
    </row>
    <row r="32" spans="1:12" x14ac:dyDescent="0.35">
      <c r="A32" s="20" t="s">
        <v>12</v>
      </c>
      <c r="B32" s="8">
        <v>2018</v>
      </c>
      <c r="C32">
        <v>1.2028726609643179</v>
      </c>
      <c r="D32">
        <v>0.13618474292671093</v>
      </c>
      <c r="E32">
        <v>1.2244268585446028</v>
      </c>
      <c r="F32">
        <v>27.339724151534011</v>
      </c>
      <c r="G32">
        <v>4.2759801353075044</v>
      </c>
      <c r="H32">
        <v>0.17446529937991434</v>
      </c>
      <c r="I32">
        <f t="shared" si="0"/>
        <v>5.1434596035879023</v>
      </c>
      <c r="J32">
        <f t="shared" si="1"/>
        <v>0.58232325548657515</v>
      </c>
      <c r="K32">
        <f t="shared" si="2"/>
        <v>5.2356249242736927</v>
      </c>
      <c r="L32">
        <f t="shared" si="3"/>
        <v>116.90411737674624</v>
      </c>
    </row>
    <row r="33" spans="1:12" x14ac:dyDescent="0.35">
      <c r="A33" s="20" t="s">
        <v>12</v>
      </c>
      <c r="B33" s="8">
        <v>2019</v>
      </c>
      <c r="C33">
        <v>1.0790827431608001</v>
      </c>
      <c r="D33">
        <v>0.12448923932996517</v>
      </c>
      <c r="E33">
        <v>1.2900657620047711</v>
      </c>
      <c r="F33">
        <v>27.396368518676066</v>
      </c>
      <c r="G33">
        <v>5.6829842756107629</v>
      </c>
      <c r="H33">
        <v>5.8279384542735811E-2</v>
      </c>
      <c r="I33">
        <f t="shared" si="0"/>
        <v>6.132410261465755</v>
      </c>
      <c r="J33">
        <f t="shared" si="1"/>
        <v>0.70747038959493702</v>
      </c>
      <c r="K33">
        <f t="shared" si="2"/>
        <v>7.3314234399769305</v>
      </c>
      <c r="L33">
        <f t="shared" si="3"/>
        <v>155.69313150047381</v>
      </c>
    </row>
    <row r="34" spans="1:12" x14ac:dyDescent="0.35">
      <c r="A34" s="20" t="s">
        <v>12</v>
      </c>
      <c r="B34" s="8">
        <v>2020</v>
      </c>
      <c r="C34">
        <v>0.90159565245216433</v>
      </c>
      <c r="D34">
        <v>0.21930721171416068</v>
      </c>
      <c r="E34">
        <v>1.5367016619273268</v>
      </c>
      <c r="F34">
        <v>27.374660747127098</v>
      </c>
      <c r="G34">
        <v>5.494544175146693</v>
      </c>
      <c r="H34">
        <v>-2.1473853546472597E-2</v>
      </c>
      <c r="I34">
        <f t="shared" si="0"/>
        <v>4.9538571405186218</v>
      </c>
      <c r="J34">
        <f t="shared" si="1"/>
        <v>1.2049931626917041</v>
      </c>
      <c r="K34">
        <f t="shared" si="2"/>
        <v>8.4434751654810363</v>
      </c>
      <c r="L34">
        <f t="shared" si="3"/>
        <v>150.41128275474401</v>
      </c>
    </row>
    <row r="35" spans="1:12" x14ac:dyDescent="0.35">
      <c r="A35" s="20" t="s">
        <v>12</v>
      </c>
      <c r="B35" s="8">
        <v>2021</v>
      </c>
      <c r="C35">
        <v>0.64094529284894242</v>
      </c>
      <c r="D35">
        <v>0.11032344745982987</v>
      </c>
      <c r="E35">
        <v>1.7933254784737531</v>
      </c>
      <c r="F35">
        <v>27.513503952066127</v>
      </c>
      <c r="G35">
        <v>9.5064401953165767</v>
      </c>
      <c r="H35">
        <v>0.14894393714497178</v>
      </c>
      <c r="I35">
        <f t="shared" si="0"/>
        <v>6.0931080949381409</v>
      </c>
      <c r="J35">
        <f t="shared" si="1"/>
        <v>1.0487832554180232</v>
      </c>
      <c r="K35">
        <f t="shared" si="2"/>
        <v>17.048141411848221</v>
      </c>
      <c r="L35">
        <f t="shared" si="3"/>
        <v>261.55547988392294</v>
      </c>
    </row>
    <row r="36" spans="1:12" x14ac:dyDescent="0.35">
      <c r="A36" s="20" t="s">
        <v>12</v>
      </c>
      <c r="B36" s="8">
        <v>2022</v>
      </c>
      <c r="C36">
        <v>0.74910419805691175</v>
      </c>
      <c r="D36">
        <v>0.39860128487435076</v>
      </c>
      <c r="E36">
        <v>1.6297510054325208</v>
      </c>
      <c r="F36">
        <v>27.663768494136907</v>
      </c>
      <c r="G36">
        <v>7.2453367521612977</v>
      </c>
      <c r="H36">
        <v>0.16214163742238097</v>
      </c>
      <c r="I36">
        <f t="shared" si="0"/>
        <v>5.4275121773800583</v>
      </c>
      <c r="J36">
        <f t="shared" si="1"/>
        <v>2.8880005387588485</v>
      </c>
      <c r="K36">
        <f t="shared" si="2"/>
        <v>11.808094856532071</v>
      </c>
      <c r="L36">
        <f t="shared" si="3"/>
        <v>200.43331857385192</v>
      </c>
    </row>
    <row r="37" spans="1:12" x14ac:dyDescent="0.35">
      <c r="A37" s="19" t="s">
        <v>13</v>
      </c>
      <c r="B37" s="8">
        <v>2018</v>
      </c>
      <c r="C37">
        <v>0.19690671601596363</v>
      </c>
      <c r="D37">
        <v>0.64220421392921023</v>
      </c>
      <c r="E37">
        <v>5.1130354331728203</v>
      </c>
      <c r="F37">
        <v>27.78713219523587</v>
      </c>
      <c r="G37">
        <v>7.9258460874650689</v>
      </c>
      <c r="H37">
        <v>-0.1606165074009302</v>
      </c>
      <c r="I37">
        <f t="shared" si="0"/>
        <v>1.5606523247307207</v>
      </c>
      <c r="J37">
        <f t="shared" si="1"/>
        <v>5.0900117563244107</v>
      </c>
      <c r="K37">
        <f t="shared" si="2"/>
        <v>40.525131883083063</v>
      </c>
      <c r="L37">
        <f t="shared" si="3"/>
        <v>220.23653299148486</v>
      </c>
    </row>
    <row r="38" spans="1:12" x14ac:dyDescent="0.35">
      <c r="A38" s="19" t="s">
        <v>13</v>
      </c>
      <c r="B38" s="8">
        <v>2019</v>
      </c>
      <c r="C38">
        <v>0.2314028749296019</v>
      </c>
      <c r="D38">
        <v>0.27615437137597576</v>
      </c>
      <c r="E38">
        <v>4.7997191659108873</v>
      </c>
      <c r="F38">
        <v>27.962537910369512</v>
      </c>
      <c r="G38">
        <v>15.466396119867424</v>
      </c>
      <c r="H38">
        <v>0.19172962128599777</v>
      </c>
      <c r="I38">
        <f t="shared" si="0"/>
        <v>3.5789685269373619</v>
      </c>
      <c r="J38">
        <f t="shared" si="1"/>
        <v>4.2711128979338193</v>
      </c>
      <c r="K38">
        <f t="shared" si="2"/>
        <v>74.234357884097463</v>
      </c>
      <c r="L38">
        <f t="shared" si="3"/>
        <v>432.47968783858477</v>
      </c>
    </row>
    <row r="39" spans="1:12" x14ac:dyDescent="0.35">
      <c r="A39" s="19" t="s">
        <v>13</v>
      </c>
      <c r="B39" s="8">
        <v>2020</v>
      </c>
      <c r="C39">
        <v>0.24268675668207262</v>
      </c>
      <c r="D39">
        <v>0.32726005769775268</v>
      </c>
      <c r="E39">
        <v>4.6627219010730503</v>
      </c>
      <c r="F39">
        <v>28.079975907073237</v>
      </c>
      <c r="G39">
        <v>11.605006143251192</v>
      </c>
      <c r="H39">
        <v>0.12461189813724127</v>
      </c>
      <c r="I39">
        <f t="shared" si="0"/>
        <v>2.8163813021811599</v>
      </c>
      <c r="J39">
        <f t="shared" si="1"/>
        <v>3.7978549800231591</v>
      </c>
      <c r="K39">
        <f t="shared" si="2"/>
        <v>54.110916306224624</v>
      </c>
      <c r="L39">
        <f t="shared" si="3"/>
        <v>325.86829290393035</v>
      </c>
    </row>
    <row r="40" spans="1:12" x14ac:dyDescent="0.35">
      <c r="A40" s="19" t="s">
        <v>13</v>
      </c>
      <c r="B40" s="8">
        <v>2021</v>
      </c>
      <c r="C40">
        <v>0.22345943191590242</v>
      </c>
      <c r="D40">
        <v>0.31806787489852822</v>
      </c>
      <c r="E40">
        <v>4.797111239629567</v>
      </c>
      <c r="F40">
        <v>28.160111241275146</v>
      </c>
      <c r="G40">
        <v>11.020879060641056</v>
      </c>
      <c r="H40">
        <v>8.3433683386537366E-2</v>
      </c>
      <c r="I40">
        <f t="shared" si="0"/>
        <v>2.4627193741047146</v>
      </c>
      <c r="J40">
        <f t="shared" si="1"/>
        <v>3.5053875823317884</v>
      </c>
      <c r="K40">
        <f t="shared" si="2"/>
        <v>52.868382812399354</v>
      </c>
      <c r="L40">
        <f t="shared" si="3"/>
        <v>310.34918032429204</v>
      </c>
    </row>
    <row r="41" spans="1:12" x14ac:dyDescent="0.35">
      <c r="A41" s="19" t="s">
        <v>13</v>
      </c>
      <c r="B41" s="8">
        <v>2022</v>
      </c>
      <c r="C41">
        <v>0.10854189075064263</v>
      </c>
      <c r="D41">
        <v>0.26959118816412148</v>
      </c>
      <c r="E41">
        <v>9.9541714023688801</v>
      </c>
      <c r="F41">
        <v>28.172349244222566</v>
      </c>
      <c r="G41">
        <v>12.844448268117828</v>
      </c>
      <c r="H41">
        <v>1.2313193720725193E-2</v>
      </c>
      <c r="I41">
        <f t="shared" si="0"/>
        <v>1.3941607006703263</v>
      </c>
      <c r="J41">
        <f t="shared" si="1"/>
        <v>3.4627500699144775</v>
      </c>
      <c r="K41">
        <f t="shared" si="2"/>
        <v>127.85583962970497</v>
      </c>
      <c r="L41">
        <f t="shared" si="3"/>
        <v>361.85828245876513</v>
      </c>
    </row>
    <row r="42" spans="1:12" x14ac:dyDescent="0.35">
      <c r="A42" s="19" t="s">
        <v>14</v>
      </c>
      <c r="B42" s="8">
        <v>2018</v>
      </c>
      <c r="C42">
        <v>1.7664282615998252</v>
      </c>
      <c r="D42">
        <v>0.35658945449501656</v>
      </c>
      <c r="E42">
        <v>1.0031563712088793</v>
      </c>
      <c r="F42">
        <v>15.037219149260341</v>
      </c>
      <c r="G42">
        <v>1.4873945617127127</v>
      </c>
      <c r="H42">
        <v>0.15428841254980513</v>
      </c>
      <c r="I42">
        <f t="shared" si="0"/>
        <v>2.6273757899592209</v>
      </c>
      <c r="J42">
        <f t="shared" si="1"/>
        <v>0.5303892153799904</v>
      </c>
      <c r="K42">
        <f t="shared" si="2"/>
        <v>1.4920893310835464</v>
      </c>
      <c r="L42">
        <f t="shared" si="3"/>
        <v>22.366277985892097</v>
      </c>
    </row>
    <row r="43" spans="1:12" x14ac:dyDescent="0.35">
      <c r="A43" s="19" t="s">
        <v>14</v>
      </c>
      <c r="B43" s="8">
        <v>2019</v>
      </c>
      <c r="C43">
        <v>1.3338714621595589</v>
      </c>
      <c r="D43">
        <v>0.3513690820199622</v>
      </c>
      <c r="E43">
        <v>1.0064603483330907</v>
      </c>
      <c r="F43">
        <v>14.914045176949505</v>
      </c>
      <c r="G43">
        <v>2.1341990894626148</v>
      </c>
      <c r="H43">
        <v>-0.11589016145099588</v>
      </c>
      <c r="I43">
        <f t="shared" si="0"/>
        <v>2.8467472600010972</v>
      </c>
      <c r="J43">
        <f t="shared" si="1"/>
        <v>0.74989157491231817</v>
      </c>
      <c r="K43">
        <f t="shared" si="2"/>
        <v>2.1479867589927082</v>
      </c>
      <c r="L43">
        <f t="shared" si="3"/>
        <v>31.829541636849935</v>
      </c>
    </row>
    <row r="44" spans="1:12" x14ac:dyDescent="0.35">
      <c r="A44" s="19" t="s">
        <v>14</v>
      </c>
      <c r="B44" s="8">
        <v>2020</v>
      </c>
      <c r="C44">
        <v>1.2410419042836096</v>
      </c>
      <c r="D44">
        <v>0.40233705453624075</v>
      </c>
      <c r="E44">
        <v>1.1438137011844978</v>
      </c>
      <c r="F44">
        <v>14.901715189023381</v>
      </c>
      <c r="G44">
        <v>2.2643550960223853</v>
      </c>
      <c r="H44">
        <v>-1.2254285082808097E-2</v>
      </c>
      <c r="I44">
        <f t="shared" si="0"/>
        <v>2.8101595603419165</v>
      </c>
      <c r="J44">
        <f t="shared" si="1"/>
        <v>0.91103395975777313</v>
      </c>
      <c r="K44">
        <f t="shared" si="2"/>
        <v>2.5900003831773435</v>
      </c>
      <c r="L44">
        <f t="shared" si="3"/>
        <v>33.742774727739274</v>
      </c>
    </row>
    <row r="45" spans="1:12" x14ac:dyDescent="0.35">
      <c r="A45" s="19" t="s">
        <v>14</v>
      </c>
      <c r="B45" s="8">
        <v>2021</v>
      </c>
      <c r="C45">
        <v>1.1569679836448448</v>
      </c>
      <c r="D45">
        <v>0.29429913980135841</v>
      </c>
      <c r="E45">
        <v>1.1666460484622059</v>
      </c>
      <c r="F45">
        <v>14.911859620801156</v>
      </c>
      <c r="G45">
        <v>3.0643608317202422</v>
      </c>
      <c r="H45">
        <v>1.0196060961043966E-2</v>
      </c>
      <c r="I45">
        <f t="shared" si="0"/>
        <v>3.5453673726356083</v>
      </c>
      <c r="J45">
        <f t="shared" si="1"/>
        <v>0.90183875681624248</v>
      </c>
      <c r="K45">
        <f t="shared" si="2"/>
        <v>3.5750244553887791</v>
      </c>
      <c r="L45">
        <f t="shared" si="3"/>
        <v>45.695318550093724</v>
      </c>
    </row>
    <row r="46" spans="1:12" x14ac:dyDescent="0.35">
      <c r="A46" s="19" t="s">
        <v>14</v>
      </c>
      <c r="B46" s="8">
        <v>2022</v>
      </c>
      <c r="C46">
        <v>1.1962420339409994</v>
      </c>
      <c r="D46">
        <v>0.38674045022296244</v>
      </c>
      <c r="E46">
        <v>1.3297214623959528</v>
      </c>
      <c r="F46">
        <v>14.97039321813128</v>
      </c>
      <c r="G46">
        <v>2.9324270375034938</v>
      </c>
      <c r="H46">
        <v>6.0280607693793099E-2</v>
      </c>
      <c r="I46">
        <f t="shared" si="0"/>
        <v>3.5078924837267587</v>
      </c>
      <c r="J46">
        <f t="shared" si="1"/>
        <v>1.1340881527300892</v>
      </c>
      <c r="K46">
        <f t="shared" si="2"/>
        <v>3.8993111686785773</v>
      </c>
      <c r="L46">
        <f t="shared" si="3"/>
        <v>43.8995858349071</v>
      </c>
    </row>
    <row r="47" spans="1:12" x14ac:dyDescent="0.35">
      <c r="A47" s="20" t="s">
        <v>15</v>
      </c>
      <c r="B47" s="8">
        <v>2018</v>
      </c>
      <c r="C47">
        <v>0.34746136914322995</v>
      </c>
      <c r="D47">
        <v>0.15743796005007343</v>
      </c>
      <c r="E47">
        <v>2.6783961288807885</v>
      </c>
      <c r="F47">
        <v>27.355065427936687</v>
      </c>
      <c r="G47">
        <v>11.88582007102308</v>
      </c>
      <c r="H47">
        <v>0.31524177877685555</v>
      </c>
      <c r="I47">
        <f t="shared" si="0"/>
        <v>4.1298633152677615</v>
      </c>
      <c r="J47">
        <f t="shared" si="1"/>
        <v>1.8712792655040926</v>
      </c>
      <c r="K47">
        <f t="shared" si="2"/>
        <v>31.834934466801794</v>
      </c>
      <c r="L47">
        <f t="shared" si="3"/>
        <v>325.1373857075194</v>
      </c>
    </row>
    <row r="48" spans="1:12" x14ac:dyDescent="0.35">
      <c r="A48" s="20" t="s">
        <v>15</v>
      </c>
      <c r="B48" s="8">
        <v>2019</v>
      </c>
      <c r="C48">
        <v>0.32281655210767402</v>
      </c>
      <c r="D48">
        <v>0.25202602446486749</v>
      </c>
      <c r="E48">
        <v>2.985895556867916</v>
      </c>
      <c r="F48">
        <v>27.466943366572742</v>
      </c>
      <c r="G48">
        <v>12.221758322106353</v>
      </c>
      <c r="H48">
        <v>0.11837634177169586</v>
      </c>
      <c r="I48">
        <f t="shared" si="0"/>
        <v>3.945385882235644</v>
      </c>
      <c r="J48">
        <f t="shared" si="1"/>
        <v>3.0802011618908738</v>
      </c>
      <c r="K48">
        <f t="shared" si="2"/>
        <v>36.492893871090835</v>
      </c>
      <c r="L48">
        <f t="shared" si="3"/>
        <v>335.6943436732343</v>
      </c>
    </row>
    <row r="49" spans="1:12" x14ac:dyDescent="0.35">
      <c r="A49" s="20" t="s">
        <v>15</v>
      </c>
      <c r="B49" s="8">
        <v>2020</v>
      </c>
      <c r="C49">
        <v>0.36881634794828561</v>
      </c>
      <c r="D49">
        <v>0.75280910321515504</v>
      </c>
      <c r="E49">
        <v>2.244000841252296</v>
      </c>
      <c r="F49">
        <v>27.533324726972925</v>
      </c>
      <c r="G49">
        <v>4.1942224952037268</v>
      </c>
      <c r="H49">
        <v>6.8634174223394614E-2</v>
      </c>
      <c r="I49">
        <f t="shared" si="0"/>
        <v>1.5468978231635844</v>
      </c>
      <c r="J49">
        <f t="shared" si="1"/>
        <v>3.1574488752991474</v>
      </c>
      <c r="K49">
        <f t="shared" si="2"/>
        <v>9.4118388076364674</v>
      </c>
      <c r="L49">
        <f t="shared" si="3"/>
        <v>115.48088993761885</v>
      </c>
    </row>
    <row r="50" spans="1:12" x14ac:dyDescent="0.35">
      <c r="A50" s="20" t="s">
        <v>15</v>
      </c>
      <c r="B50" s="8">
        <v>2021</v>
      </c>
      <c r="C50">
        <v>0.46484451146037642</v>
      </c>
      <c r="D50">
        <v>0.81705465359510709</v>
      </c>
      <c r="E50">
        <v>1.602822697585075</v>
      </c>
      <c r="F50">
        <v>27.618506716826772</v>
      </c>
      <c r="G50">
        <v>1.1993842620893569</v>
      </c>
      <c r="H50">
        <v>8.891522018866295E-2</v>
      </c>
      <c r="I50">
        <f t="shared" si="0"/>
        <v>0.55752719136419115</v>
      </c>
      <c r="J50">
        <f t="shared" si="1"/>
        <v>0.97996249278884262</v>
      </c>
      <c r="K50">
        <f t="shared" si="2"/>
        <v>1.9224003184031475</v>
      </c>
      <c r="L50">
        <f t="shared" si="3"/>
        <v>33.125202298571224</v>
      </c>
    </row>
    <row r="51" spans="1:12" x14ac:dyDescent="0.35">
      <c r="A51" s="20" t="s">
        <v>15</v>
      </c>
      <c r="B51" s="8">
        <v>2022</v>
      </c>
      <c r="C51">
        <v>0.21341418202899123</v>
      </c>
      <c r="D51">
        <v>106.85092205218149</v>
      </c>
      <c r="E51">
        <v>3.269089142877756</v>
      </c>
      <c r="F51">
        <v>27.422277954764688</v>
      </c>
      <c r="G51">
        <v>1.1159693017635612E-2</v>
      </c>
      <c r="H51">
        <v>-0.17817578902851217</v>
      </c>
      <c r="I51">
        <f t="shared" si="0"/>
        <v>2.3816367570533487E-3</v>
      </c>
      <c r="J51">
        <f t="shared" si="1"/>
        <v>1.1924234887536567</v>
      </c>
      <c r="K51">
        <f t="shared" si="2"/>
        <v>3.6482031281801282E-2</v>
      </c>
      <c r="L51">
        <f t="shared" si="3"/>
        <v>0.30602420381945045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BB86-700A-4FB9-B0BA-86BFF8F0BDBE}">
  <dimension ref="A1:O51"/>
  <sheetViews>
    <sheetView tabSelected="1" workbookViewId="0">
      <selection activeCell="O7" sqref="O7"/>
    </sheetView>
  </sheetViews>
  <sheetFormatPr defaultRowHeight="14.5" x14ac:dyDescent="0.35"/>
  <sheetData>
    <row r="1" spans="1:15" x14ac:dyDescent="0.35">
      <c r="A1" s="6" t="s">
        <v>1</v>
      </c>
      <c r="B1" s="6" t="s">
        <v>3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 spans="1:15" x14ac:dyDescent="0.35">
      <c r="A2" s="19" t="s">
        <v>6</v>
      </c>
      <c r="B2" s="8">
        <v>2018</v>
      </c>
      <c r="C2">
        <f>SQRT(Sheet1!C2+0.5)</f>
        <v>1.0067247788141793</v>
      </c>
      <c r="D2">
        <f>SQRT(Sheet1!D2+0.5)</f>
        <v>1.0250396528462529</v>
      </c>
      <c r="E2">
        <f>SQRT(Sheet1!E2+0.5)</f>
        <v>1.5658012033606099</v>
      </c>
      <c r="F2">
        <f>SQRT(Sheet1!F2+0.5)</f>
        <v>4.2252351190825292</v>
      </c>
      <c r="G2">
        <f>SQRT(Sheet1!G2+0.5)</f>
        <v>3.7491214902735428</v>
      </c>
      <c r="H2">
        <f>SQRT(Sheet1!H2+0.5)</f>
        <v>0.76609199164048325</v>
      </c>
      <c r="I2">
        <f>SQRT(Sheet1!I2+0.5)</f>
        <v>2.7314629830255908</v>
      </c>
      <c r="J2">
        <f>SQRT(Sheet1!J2+0.5)</f>
        <v>2.8222909091106998</v>
      </c>
      <c r="K2">
        <f>SQRT(Sheet1!K2+0.5)</f>
        <v>5.1920637739225901</v>
      </c>
      <c r="L2">
        <f>SQRT(Sheet1!L2+0.5)</f>
        <v>15.353516789300151</v>
      </c>
    </row>
    <row r="3" spans="1:15" x14ac:dyDescent="0.35">
      <c r="A3" s="19" t="s">
        <v>6</v>
      </c>
      <c r="B3" s="8">
        <v>2019</v>
      </c>
      <c r="C3">
        <f>SQRT(Sheet1!C3+0.5)</f>
        <v>0.97537570662141637</v>
      </c>
      <c r="D3">
        <f>SQRT(Sheet1!D3+0.5)</f>
        <v>0.89334942812057272</v>
      </c>
      <c r="E3">
        <f>SQRT(Sheet1!E3+0.5)</f>
        <v>1.7423245207041411</v>
      </c>
      <c r="F3">
        <f>SQRT(Sheet1!F3+0.5)</f>
        <v>4.23929130880125</v>
      </c>
      <c r="G3">
        <f>SQRT(Sheet1!G3+0.5)</f>
        <v>3.7877264397497572</v>
      </c>
      <c r="H3">
        <f>SQRT(Sheet1!H3+0.5)</f>
        <v>0.79142040204447139</v>
      </c>
      <c r="I3">
        <f>SQRT(Sheet1!I3+0.5)</f>
        <v>2.59805563181067</v>
      </c>
      <c r="J3">
        <f>SQRT(Sheet1!J3+0.5)</f>
        <v>2.1511348940884849</v>
      </c>
      <c r="K3">
        <f>SQRT(Sheet1!K3+0.5)</f>
        <v>5.9675321007807627</v>
      </c>
      <c r="L3">
        <f>SQRT(Sheet1!L3+0.5)</f>
        <v>15.570063396134129</v>
      </c>
    </row>
    <row r="4" spans="1:15" x14ac:dyDescent="0.35">
      <c r="A4" s="19" t="s">
        <v>6</v>
      </c>
      <c r="B4" s="8">
        <v>2020</v>
      </c>
      <c r="C4">
        <f>SQRT(Sheet1!C4+0.5)</f>
        <v>1.2484675282812217</v>
      </c>
      <c r="D4">
        <f>SQRT(Sheet1!D4+0.5)</f>
        <v>0.91541102927638374</v>
      </c>
      <c r="E4">
        <f>SQRT(Sheet1!E4+0.5)</f>
        <v>1.6606060788787376</v>
      </c>
      <c r="F4">
        <f>SQRT(Sheet1!F4+0.5)</f>
        <v>4.3538414289439986</v>
      </c>
      <c r="G4">
        <f>SQRT(Sheet1!G4+0.5)</f>
        <v>2.7679582323474254</v>
      </c>
      <c r="H4">
        <f>SQRT(Sheet1!H4+0.5)</f>
        <v>1.4751463835431453</v>
      </c>
      <c r="I4">
        <f>SQRT(Sheet1!I4+0.5)</f>
        <v>2.8428457216893039</v>
      </c>
      <c r="J4">
        <f>SQRT(Sheet1!J4+0.5)</f>
        <v>1.7089342194103416</v>
      </c>
      <c r="K4">
        <f>SQRT(Sheet1!K4+0.5)</f>
        <v>4.0826586587011073</v>
      </c>
      <c r="L4">
        <f>SQRT(Sheet1!L4+0.5)</f>
        <v>11.518415347601367</v>
      </c>
    </row>
    <row r="5" spans="1:15" x14ac:dyDescent="0.35">
      <c r="A5" s="19" t="s">
        <v>6</v>
      </c>
      <c r="B5" s="8">
        <v>2021</v>
      </c>
      <c r="C5">
        <f>SQRT(Sheet1!C5+0.5)</f>
        <v>1.2837649904242252</v>
      </c>
      <c r="D5">
        <f>SQRT(Sheet1!D5+0.5)</f>
        <v>0.90382627155159667</v>
      </c>
      <c r="E5">
        <f>SQRT(Sheet1!E5+0.5)</f>
        <v>1.516306331658368</v>
      </c>
      <c r="F5">
        <f>SQRT(Sheet1!F5+0.5)</f>
        <v>4.3687898700040346</v>
      </c>
      <c r="G5">
        <f>SQRT(Sheet1!G5+0.5)</f>
        <v>2.6840578508409707</v>
      </c>
      <c r="H5">
        <f>SQRT(Sheet1!H5+0.5)</f>
        <v>0.79954506855073015</v>
      </c>
      <c r="I5">
        <f>SQRT(Sheet1!I5+0.5)</f>
        <v>2.8629941501515992</v>
      </c>
      <c r="J5">
        <f>SQRT(Sheet1!J5+0.5)</f>
        <v>1.6200504041414063</v>
      </c>
      <c r="K5">
        <f>SQRT(Sheet1!K5+0.5)</f>
        <v>3.5442961445630652</v>
      </c>
      <c r="L5">
        <f>SQRT(Sheet1!L5+0.5)</f>
        <v>11.185071202694472</v>
      </c>
      <c r="O5">
        <f>FINV(0.05,5,44)</f>
        <v>2.4270401198339093</v>
      </c>
    </row>
    <row r="6" spans="1:15" x14ac:dyDescent="0.35">
      <c r="A6" s="19" t="s">
        <v>6</v>
      </c>
      <c r="B6" s="8">
        <v>2022</v>
      </c>
      <c r="C6">
        <f>SQRT(Sheet1!C6+0.5)</f>
        <v>1.2272960087616143</v>
      </c>
      <c r="D6">
        <f>SQRT(Sheet1!D6+0.5)</f>
        <v>0.9685932276746092</v>
      </c>
      <c r="E6">
        <f>SQRT(Sheet1!E6+0.5)</f>
        <v>1.8964515366257535</v>
      </c>
      <c r="F6">
        <f>SQRT(Sheet1!F6+0.5)</f>
        <v>4.3661305520979905</v>
      </c>
      <c r="G6">
        <f>SQRT(Sheet1!G6+0.5)</f>
        <v>2.3372282656424623</v>
      </c>
      <c r="H6">
        <f>SQRT(Sheet1!H6+0.5)</f>
        <v>0.69067994353373485</v>
      </c>
      <c r="I6">
        <f>SQRT(Sheet1!I6+0.5)</f>
        <v>2.3438600002708241</v>
      </c>
      <c r="J6">
        <f>SQRT(Sheet1!J6+0.5)</f>
        <v>1.6353875071200616</v>
      </c>
      <c r="K6">
        <f>SQRT(Sheet1!K6+0.5)</f>
        <v>3.9833331971363695</v>
      </c>
      <c r="L6">
        <f>SQRT(Sheet1!L6+0.5)</f>
        <v>9.6240265915349017</v>
      </c>
      <c r="O6">
        <f>TINV(0.05,44)</f>
        <v>2.0153675744437649</v>
      </c>
    </row>
    <row r="7" spans="1:15" x14ac:dyDescent="0.35">
      <c r="A7" s="19" t="s">
        <v>7</v>
      </c>
      <c r="B7" s="8">
        <v>2018</v>
      </c>
      <c r="C7">
        <f>SQRT(Sheet1!C7+0.5)</f>
        <v>1.1974865564272106</v>
      </c>
      <c r="D7">
        <f>SQRT(Sheet1!D7+0.5)</f>
        <v>1.017062083511346</v>
      </c>
      <c r="E7">
        <f>SQRT(Sheet1!E7+0.5)</f>
        <v>1.251515031601641</v>
      </c>
      <c r="F7">
        <f>SQRT(Sheet1!F7+0.5)</f>
        <v>4.3457387355915627</v>
      </c>
      <c r="G7">
        <f>SQRT(Sheet1!G7+0.5)</f>
        <v>2.3748266063040058</v>
      </c>
      <c r="H7">
        <f>SQRT(Sheet1!H7+0.5)</f>
        <v>0.76944504797580648</v>
      </c>
      <c r="I7">
        <f>SQRT(Sheet1!I7+0.5)</f>
        <v>2.3022686970934716</v>
      </c>
      <c r="J7">
        <f>SQRT(Sheet1!J7+0.5)</f>
        <v>1.8018846851274171</v>
      </c>
      <c r="K7">
        <f>SQRT(Sheet1!K7+0.5)</f>
        <v>2.4455098036061202</v>
      </c>
      <c r="L7">
        <f>SQRT(Sheet1!L7+0.5)</f>
        <v>9.7466679920292059</v>
      </c>
    </row>
    <row r="8" spans="1:15" x14ac:dyDescent="0.35">
      <c r="A8" s="19" t="s">
        <v>7</v>
      </c>
      <c r="B8" s="8">
        <v>2019</v>
      </c>
      <c r="C8">
        <f>SQRT(Sheet1!C8+0.5)</f>
        <v>1.1290702776407604</v>
      </c>
      <c r="D8">
        <f>SQRT(Sheet1!D8+0.5)</f>
        <v>0.86854240213882061</v>
      </c>
      <c r="E8">
        <f>SQRT(Sheet1!E8+0.5)</f>
        <v>1.3311916288288916</v>
      </c>
      <c r="F8">
        <f>SQRT(Sheet1!F8+0.5)</f>
        <v>4.3453336967733289</v>
      </c>
      <c r="G8">
        <f>SQRT(Sheet1!G8+0.5)</f>
        <v>2.5760405360937808</v>
      </c>
      <c r="H8">
        <f>SQRT(Sheet1!H8+0.5)</f>
        <v>0.70461760339153623</v>
      </c>
      <c r="I8">
        <f>SQRT(Sheet1!I8+0.5)</f>
        <v>2.2921952722286125</v>
      </c>
      <c r="J8">
        <f>SQRT(Sheet1!J8+0.5)</f>
        <v>1.4355435672919155</v>
      </c>
      <c r="K8">
        <f>SQRT(Sheet1!K8+0.5)</f>
        <v>2.8819107051964128</v>
      </c>
      <c r="L8">
        <f>SQRT(Sheet1!L8+0.5)</f>
        <v>10.643834497275101</v>
      </c>
    </row>
    <row r="9" spans="1:15" x14ac:dyDescent="0.35">
      <c r="A9" s="19" t="s">
        <v>7</v>
      </c>
      <c r="B9" s="8">
        <v>2020</v>
      </c>
      <c r="C9">
        <f>SQRT(Sheet1!C9+0.5)</f>
        <v>1.2495667590468589</v>
      </c>
      <c r="D9">
        <f>SQRT(Sheet1!D9+0.5)</f>
        <v>0.88255361897882867</v>
      </c>
      <c r="E9">
        <f>SQRT(Sheet1!E9+0.5)</f>
        <v>1.368672035917851</v>
      </c>
      <c r="F9">
        <f>SQRT(Sheet1!F9+0.5)</f>
        <v>4.4056892684026217</v>
      </c>
      <c r="G9">
        <f>SQRT(Sheet1!G9+0.5)</f>
        <v>2.4217498731908051</v>
      </c>
      <c r="H9">
        <f>SQRT(Sheet1!H9+0.5)</f>
        <v>1.0935406630926632</v>
      </c>
      <c r="I9">
        <f>SQRT(Sheet1!I9+0.5)</f>
        <v>2.4888485846190607</v>
      </c>
      <c r="J9">
        <f>SQRT(Sheet1!J9+0.5)</f>
        <v>1.4128933797588403</v>
      </c>
      <c r="K9">
        <f>SQRT(Sheet1!K9+0.5)</f>
        <v>2.8048853085756682</v>
      </c>
      <c r="L9">
        <f>SQRT(Sheet1!L9+0.5)</f>
        <v>10.097042308408589</v>
      </c>
    </row>
    <row r="10" spans="1:15" x14ac:dyDescent="0.35">
      <c r="A10" s="19" t="s">
        <v>7</v>
      </c>
      <c r="B10" s="8">
        <v>2021</v>
      </c>
      <c r="C10">
        <f>SQRT(Sheet1!C10+0.5)</f>
        <v>1.2493660176646433</v>
      </c>
      <c r="D10">
        <f>SQRT(Sheet1!D10+0.5)</f>
        <v>0.84697488488970207</v>
      </c>
      <c r="E10">
        <f>SQRT(Sheet1!E10+0.5)</f>
        <v>1.3568567530472664</v>
      </c>
      <c r="F10">
        <f>SQRT(Sheet1!F10+0.5)</f>
        <v>4.416380177365415</v>
      </c>
      <c r="G10">
        <f>SQRT(Sheet1!G10+0.5)</f>
        <v>2.6007805854711781</v>
      </c>
      <c r="H10">
        <f>SQRT(Sheet1!H10+0.5)</f>
        <v>0.77389074238853417</v>
      </c>
      <c r="I10">
        <f>SQRT(Sheet1!I10+0.5)</f>
        <v>2.6731325522577123</v>
      </c>
      <c r="J10">
        <f>SQRT(Sheet1!J10+0.5)</f>
        <v>1.3644033292315378</v>
      </c>
      <c r="K10">
        <f>SQRT(Sheet1!K10+0.5)</f>
        <v>2.9833674588591452</v>
      </c>
      <c r="L10">
        <f>SQRT(Sheet1!L10+0.5)</f>
        <v>10.933653651589859</v>
      </c>
    </row>
    <row r="11" spans="1:15" x14ac:dyDescent="0.35">
      <c r="A11" s="19" t="s">
        <v>7</v>
      </c>
      <c r="B11" s="8">
        <v>2022</v>
      </c>
      <c r="C11">
        <f>SQRT(Sheet1!C11+0.5)</f>
        <v>1.194668088730493</v>
      </c>
      <c r="D11">
        <f>SQRT(Sheet1!D11+0.5)</f>
        <v>0.87494920342137117</v>
      </c>
      <c r="E11">
        <f>SQRT(Sheet1!E11+0.5)</f>
        <v>1.5119538395130745</v>
      </c>
      <c r="F11">
        <f>SQRT(Sheet1!F11+0.5)</f>
        <v>4.4171112436023892</v>
      </c>
      <c r="G11">
        <f>SQRT(Sheet1!G11+0.5)</f>
        <v>2.3653157628123842</v>
      </c>
      <c r="H11">
        <f>SQRT(Sheet1!H11+0.5)</f>
        <v>0.71167321455623522</v>
      </c>
      <c r="I11">
        <f>SQRT(Sheet1!I11+0.5)</f>
        <v>2.2856039391654188</v>
      </c>
      <c r="J11">
        <f>SQRT(Sheet1!J11+0.5)</f>
        <v>1.3611876309465001</v>
      </c>
      <c r="K11">
        <f>SQRT(Sheet1!K11+0.5)</f>
        <v>3.0982559618137202</v>
      </c>
      <c r="L11">
        <f>SQRT(Sheet1!L11+0.5)</f>
        <v>9.8668659130761718</v>
      </c>
    </row>
    <row r="12" spans="1:15" x14ac:dyDescent="0.35">
      <c r="A12" s="19" t="s">
        <v>8</v>
      </c>
      <c r="B12" s="8">
        <v>2018</v>
      </c>
      <c r="C12">
        <f>SQRT(Sheet1!C12+0.5)</f>
        <v>1.2487214333295913</v>
      </c>
      <c r="D12">
        <f>SQRT(Sheet1!D12+0.5)</f>
        <v>0.91810574813350032</v>
      </c>
      <c r="E12">
        <f>SQRT(Sheet1!E12+0.5)</f>
        <v>1.7761187422584996</v>
      </c>
      <c r="F12">
        <f>SQRT(Sheet1!F12+0.5)</f>
        <v>5.5676250485419247</v>
      </c>
      <c r="G12">
        <f>SQRT(Sheet1!G12+0.5)</f>
        <v>3.241478542918983</v>
      </c>
      <c r="H12">
        <f>SQRT(Sheet1!H12+0.5)</f>
        <v>0.82425533697721765</v>
      </c>
      <c r="I12">
        <f>SQRT(Sheet1!I12+0.5)</f>
        <v>3.3317654963554424</v>
      </c>
      <c r="J12">
        <f>SQRT(Sheet1!J12+0.5)</f>
        <v>1.9828375824019007</v>
      </c>
      <c r="K12">
        <f>SQRT(Sheet1!K12+0.5)</f>
        <v>5.2024077334177097</v>
      </c>
      <c r="L12">
        <f>SQRT(Sheet1!L12+0.5)</f>
        <v>17.484380502791485</v>
      </c>
    </row>
    <row r="13" spans="1:15" x14ac:dyDescent="0.35">
      <c r="A13" s="19" t="s">
        <v>8</v>
      </c>
      <c r="B13" s="8">
        <v>2019</v>
      </c>
      <c r="C13">
        <f>SQRT(Sheet1!C13+0.5)</f>
        <v>1.1919335453113906</v>
      </c>
      <c r="D13">
        <f>SQRT(Sheet1!D13+0.5)</f>
        <v>0.90336996557735516</v>
      </c>
      <c r="E13">
        <f>SQRT(Sheet1!E13+0.5)</f>
        <v>1.9848555648543784</v>
      </c>
      <c r="F13">
        <f>SQRT(Sheet1!F13+0.5)</f>
        <v>5.5747155831427548</v>
      </c>
      <c r="G13">
        <f>SQRT(Sheet1!G13+0.5)</f>
        <v>3.3578802202865741</v>
      </c>
      <c r="H13">
        <f>SQRT(Sheet1!H13+0.5)</f>
        <v>0.76302679990070932</v>
      </c>
      <c r="I13">
        <f>SQRT(Sheet1!I13+0.5)</f>
        <v>3.228147092020587</v>
      </c>
      <c r="J13">
        <f>SQRT(Sheet1!J13+0.5)</f>
        <v>1.9763214575523351</v>
      </c>
      <c r="K13">
        <f>SQRT(Sheet1!K13+0.5)</f>
        <v>6.1289055256416241</v>
      </c>
      <c r="L13">
        <f>SQRT(Sheet1!L13+0.5)</f>
        <v>18.165435857718627</v>
      </c>
    </row>
    <row r="14" spans="1:15" x14ac:dyDescent="0.35">
      <c r="A14" s="19" t="s">
        <v>8</v>
      </c>
      <c r="B14" s="8">
        <v>2020</v>
      </c>
      <c r="C14">
        <f>SQRT(Sheet1!C14+0.5)</f>
        <v>1.1201123580272878</v>
      </c>
      <c r="D14">
        <f>SQRT(Sheet1!D14+0.5)</f>
        <v>0.90536667055537146</v>
      </c>
      <c r="E14">
        <f>SQRT(Sheet1!E14+0.5)</f>
        <v>2.0479878377487268</v>
      </c>
      <c r="F14">
        <f>SQRT(Sheet1!F14+0.5)</f>
        <v>5.5781328479930359</v>
      </c>
      <c r="G14">
        <f>SQRT(Sheet1!G14+0.5)</f>
        <v>3.3329965397220134</v>
      </c>
      <c r="H14">
        <f>SQRT(Sheet1!H14+0.5)</f>
        <v>0.73406254734861598</v>
      </c>
      <c r="I14">
        <f>SQRT(Sheet1!I14+0.5)</f>
        <v>2.9165045267894563</v>
      </c>
      <c r="J14">
        <f>SQRT(Sheet1!J14+0.5)</f>
        <v>1.9726975708977872</v>
      </c>
      <c r="K14">
        <f>SQRT(Sheet1!K14+0.5)</f>
        <v>6.3001466140745439</v>
      </c>
      <c r="L14">
        <f>SQRT(Sheet1!L14+0.5)</f>
        <v>18.035976156629172</v>
      </c>
    </row>
    <row r="15" spans="1:15" x14ac:dyDescent="0.35">
      <c r="A15" s="19" t="s">
        <v>8</v>
      </c>
      <c r="B15" s="8">
        <v>2021</v>
      </c>
      <c r="C15">
        <f>SQRT(Sheet1!C15+0.5)</f>
        <v>1.1195131541532566</v>
      </c>
      <c r="D15">
        <f>SQRT(Sheet1!D15+0.5)</f>
        <v>1.208318894780313</v>
      </c>
      <c r="E15">
        <f>SQRT(Sheet1!E15+0.5)</f>
        <v>1.6817204523766085</v>
      </c>
      <c r="F15">
        <f>SQRT(Sheet1!F15+0.5)</f>
        <v>5.578765773286209</v>
      </c>
      <c r="G15">
        <f>SQRT(Sheet1!G15+0.5)</f>
        <v>2.565209128607246</v>
      </c>
      <c r="H15">
        <f>SQRT(Sheet1!H15+0.5)</f>
        <v>0.71210004521430725</v>
      </c>
      <c r="I15">
        <f>SQRT(Sheet1!I15+0.5)</f>
        <v>2.2539625953215938</v>
      </c>
      <c r="J15">
        <f>SQRT(Sheet1!J15+0.5)</f>
        <v>2.5173986656585949</v>
      </c>
      <c r="K15">
        <f>SQRT(Sheet1!K15+0.5)</f>
        <v>3.8283221231035447</v>
      </c>
      <c r="L15">
        <f>SQRT(Sheet1!L15+0.5)</f>
        <v>13.663626794974087</v>
      </c>
    </row>
    <row r="16" spans="1:15" x14ac:dyDescent="0.35">
      <c r="A16" s="19" t="s">
        <v>8</v>
      </c>
      <c r="B16" s="8">
        <v>2022</v>
      </c>
      <c r="C16">
        <f>SQRT(Sheet1!C16+0.5)</f>
        <v>1.1115847679759447</v>
      </c>
      <c r="D16">
        <f>SQRT(Sheet1!D16+0.5)</f>
        <v>0.85926344110766928</v>
      </c>
      <c r="E16">
        <f>SQRT(Sheet1!E16+0.5)</f>
        <v>1.7665862036054658</v>
      </c>
      <c r="F16">
        <f>SQRT(Sheet1!F16+0.5)</f>
        <v>5.5887868268047196</v>
      </c>
      <c r="G16">
        <f>SQRT(Sheet1!G16+0.5)</f>
        <v>3.0567669872428844</v>
      </c>
      <c r="H16">
        <f>SQRT(Sheet1!H16+0.5)</f>
        <v>0.78639234313877482</v>
      </c>
      <c r="I16">
        <f>SQRT(Sheet1!I16+0.5)</f>
        <v>2.6468283424602719</v>
      </c>
      <c r="J16">
        <f>SQRT(Sheet1!J16+0.5)</f>
        <v>1.6148625489135391</v>
      </c>
      <c r="K16">
        <f>SQRT(Sheet1!K16+0.5)</f>
        <v>4.8660181021141211</v>
      </c>
      <c r="L16">
        <f>SQRT(Sheet1!L16+0.5)</f>
        <v>16.501844116802051</v>
      </c>
    </row>
    <row r="17" spans="1:12" x14ac:dyDescent="0.35">
      <c r="A17" s="19" t="s">
        <v>9</v>
      </c>
      <c r="B17" s="8">
        <v>2018</v>
      </c>
      <c r="C17">
        <f>SQRT(Sheet1!C17+0.5)</f>
        <v>1.0918480780052344</v>
      </c>
      <c r="D17">
        <f>SQRT(Sheet1!D17+0.5)</f>
        <v>0.9645174507397668</v>
      </c>
      <c r="E17">
        <f>SQRT(Sheet1!E17+0.5)</f>
        <v>1.2971101369011249</v>
      </c>
      <c r="F17">
        <f>SQRT(Sheet1!F17+0.5)</f>
        <v>5.4377436169953066</v>
      </c>
      <c r="G17">
        <f>SQRT(Sheet1!G17+0.5)</f>
        <v>3.2558675045523935</v>
      </c>
      <c r="H17">
        <f>SQRT(Sheet1!H17+0.5)</f>
        <v>0.82574840247598669</v>
      </c>
      <c r="I17">
        <f>SQRT(Sheet1!I17+0.5)</f>
        <v>2.7369693870007565</v>
      </c>
      <c r="J17">
        <f>SQRT(Sheet1!J17+0.5)</f>
        <v>2.2014218578123179</v>
      </c>
      <c r="K17">
        <f>SQRT(Sheet1!K17+0.5)</f>
        <v>3.5276043722607096</v>
      </c>
      <c r="L17">
        <f>SQRT(Sheet1!L17+0.5)</f>
        <v>17.1498405678803</v>
      </c>
    </row>
    <row r="18" spans="1:12" x14ac:dyDescent="0.35">
      <c r="A18" s="19" t="s">
        <v>9</v>
      </c>
      <c r="B18" s="8">
        <v>2019</v>
      </c>
      <c r="C18">
        <f>SQRT(Sheet1!C18+0.5)</f>
        <v>1.1535955686395689</v>
      </c>
      <c r="D18">
        <f>SQRT(Sheet1!D18+0.5)</f>
        <v>0.89654116802023553</v>
      </c>
      <c r="E18">
        <f>SQRT(Sheet1!E18+0.5)</f>
        <v>1.426111531849251</v>
      </c>
      <c r="F18">
        <f>SQRT(Sheet1!F18+0.5)</f>
        <v>5.4546304801422902</v>
      </c>
      <c r="G18">
        <f>SQRT(Sheet1!G18+0.5)</f>
        <v>3.0177417809889255</v>
      </c>
      <c r="H18">
        <f>SQRT(Sheet1!H18+0.5)</f>
        <v>0.83781939423366536</v>
      </c>
      <c r="I18">
        <f>SQRT(Sheet1!I18+0.5)</f>
        <v>2.7659269972504523</v>
      </c>
      <c r="J18">
        <f>SQRT(Sheet1!J18+0.5)</f>
        <v>1.7648273056299317</v>
      </c>
      <c r="K18">
        <f>SQRT(Sheet1!K18+0.5)</f>
        <v>3.7014870104554571</v>
      </c>
      <c r="L18">
        <f>SQRT(Sheet1!L18+0.5)</f>
        <v>15.883124864677495</v>
      </c>
    </row>
    <row r="19" spans="1:12" x14ac:dyDescent="0.35">
      <c r="A19" s="19" t="s">
        <v>9</v>
      </c>
      <c r="B19" s="8">
        <v>2020</v>
      </c>
      <c r="C19">
        <f>SQRT(Sheet1!C19+0.5)</f>
        <v>1.3304911303831979</v>
      </c>
      <c r="D19">
        <f>SQRT(Sheet1!D19+0.5)</f>
        <v>1.1714207724948158</v>
      </c>
      <c r="E19">
        <f>SQRT(Sheet1!E19+0.5)</f>
        <v>1.5004152281324556</v>
      </c>
      <c r="F19">
        <f>SQRT(Sheet1!F19+0.5)</f>
        <v>5.4784744704789388</v>
      </c>
      <c r="G19">
        <f>SQRT(Sheet1!G19+0.5)</f>
        <v>2.0567207771105593</v>
      </c>
      <c r="H19">
        <f>SQRT(Sheet1!H19+0.5)</f>
        <v>0.89320982034740848</v>
      </c>
      <c r="I19">
        <f>SQRT(Sheet1!I19+0.5)</f>
        <v>2.2886673565050333</v>
      </c>
      <c r="J19">
        <f>SQRT(Sheet1!J19+0.5)</f>
        <v>1.9373933127138199</v>
      </c>
      <c r="K19">
        <f>SQRT(Sheet1!K19+0.5)</f>
        <v>2.6518527093680784</v>
      </c>
      <c r="L19">
        <f>SQRT(Sheet1!L19+0.5)</f>
        <v>10.516130355740184</v>
      </c>
    </row>
    <row r="20" spans="1:12" x14ac:dyDescent="0.35">
      <c r="A20" s="19" t="s">
        <v>9</v>
      </c>
      <c r="B20" s="8">
        <v>2021</v>
      </c>
      <c r="C20">
        <f>SQRT(Sheet1!C20+0.5)</f>
        <v>1.3130954823975463</v>
      </c>
      <c r="D20">
        <f>SQRT(Sheet1!D20+0.5)</f>
        <v>0.87623688387334553</v>
      </c>
      <c r="E20">
        <f>SQRT(Sheet1!E20+0.5)</f>
        <v>1.4054896548790792</v>
      </c>
      <c r="F20">
        <f>SQRT(Sheet1!F20+0.5)</f>
        <v>5.481151356969912</v>
      </c>
      <c r="G20">
        <f>SQRT(Sheet1!G20+0.5)</f>
        <v>2.7893420304039593</v>
      </c>
      <c r="H20">
        <f>SQRT(Sheet1!H20+0.5)</f>
        <v>0.72785456200048781</v>
      </c>
      <c r="I20">
        <f>SQRT(Sheet1!I20+0.5)</f>
        <v>3.0680359995538264</v>
      </c>
      <c r="J20">
        <f>SQRT(Sheet1!J20+0.5)</f>
        <v>1.565130636859412</v>
      </c>
      <c r="K20">
        <f>SQRT(Sheet1!K20+0.5)</f>
        <v>3.3528425864162728</v>
      </c>
      <c r="L20">
        <f>SQRT(Sheet1!L20+0.5)</f>
        <v>14.682842364189705</v>
      </c>
    </row>
    <row r="21" spans="1:12" x14ac:dyDescent="0.35">
      <c r="A21" s="19" t="s">
        <v>9</v>
      </c>
      <c r="B21" s="8">
        <v>2022</v>
      </c>
      <c r="C21">
        <f>SQRT(Sheet1!C21+0.5)</f>
        <v>1.2985886451576067</v>
      </c>
      <c r="D21">
        <f>SQRT(Sheet1!D21+0.5)</f>
        <v>0.96155003703895725</v>
      </c>
      <c r="E21">
        <f>SQRT(Sheet1!E21+0.5)</f>
        <v>1.4968921244246736</v>
      </c>
      <c r="F21">
        <f>SQRT(Sheet1!F21+0.5)</f>
        <v>5.4884094264158474</v>
      </c>
      <c r="G21">
        <f>SQRT(Sheet1!G21+0.5)</f>
        <v>2.7604474885669994</v>
      </c>
      <c r="H21">
        <f>SQRT(Sheet1!H21+0.5)</f>
        <v>0.76346129649155015</v>
      </c>
      <c r="I21">
        <f>SQRT(Sheet1!I21+0.5)</f>
        <v>2.9911152811073358</v>
      </c>
      <c r="J21">
        <f>SQRT(Sheet1!J21+0.5)</f>
        <v>1.8769732540951889</v>
      </c>
      <c r="K21">
        <f>SQRT(Sheet1!K21+0.5)</f>
        <v>3.5907947565799363</v>
      </c>
      <c r="L21">
        <f>SQRT(Sheet1!L21+0.5)</f>
        <v>14.540126077828363</v>
      </c>
    </row>
    <row r="22" spans="1:12" x14ac:dyDescent="0.35">
      <c r="A22" s="19" t="s">
        <v>10</v>
      </c>
      <c r="B22" s="8">
        <v>2018</v>
      </c>
      <c r="C22">
        <f>SQRT(Sheet1!C22+0.5)</f>
        <v>1.0031591043813304</v>
      </c>
      <c r="D22">
        <f>SQRT(Sheet1!D22+0.5)</f>
        <v>0.88494328957445745</v>
      </c>
      <c r="E22">
        <f>SQRT(Sheet1!E22+0.5)</f>
        <v>2.0177317295534354</v>
      </c>
      <c r="F22">
        <f>SQRT(Sheet1!F22+0.5)</f>
        <v>5.4416190545516354</v>
      </c>
      <c r="G22">
        <f>SQRT(Sheet1!G22+0.5)</f>
        <v>1.84237115286908</v>
      </c>
      <c r="H22">
        <f>SQRT(Sheet1!H22+0.5)</f>
        <v>0.68091482156508554</v>
      </c>
      <c r="I22">
        <f>SQRT(Sheet1!I22+0.5)</f>
        <v>1.4019563502982482</v>
      </c>
      <c r="J22">
        <f>SQRT(Sheet1!J22+0.5)</f>
        <v>1.1486759825295922</v>
      </c>
      <c r="K22">
        <f>SQRT(Sheet1!K22+0.5)</f>
        <v>3.2918621109241655</v>
      </c>
      <c r="L22">
        <f>SQRT(Sheet1!L22+0.5)</f>
        <v>9.2063844179529948</v>
      </c>
    </row>
    <row r="23" spans="1:12" x14ac:dyDescent="0.35">
      <c r="A23" s="19" t="s">
        <v>10</v>
      </c>
      <c r="B23" s="8">
        <v>2019</v>
      </c>
      <c r="C23">
        <f>SQRT(Sheet1!C23+0.5)</f>
        <v>1.0069582355240316</v>
      </c>
      <c r="D23">
        <f>SQRT(Sheet1!D23+0.5)</f>
        <v>0.86747694616655613</v>
      </c>
      <c r="E23">
        <f>SQRT(Sheet1!E23+0.5)</f>
        <v>1.4809892844106065</v>
      </c>
      <c r="F23">
        <f>SQRT(Sheet1!F23+0.5)</f>
        <v>5.4474548545877619</v>
      </c>
      <c r="G23">
        <f>SQRT(Sheet1!G23+0.5)</f>
        <v>2.3561761476610164</v>
      </c>
      <c r="H23">
        <f>SQRT(Sheet1!H23+0.5)</f>
        <v>0.75206980435368442</v>
      </c>
      <c r="I23">
        <f>SQRT(Sheet1!I23+0.5)</f>
        <v>1.7596384781576222</v>
      </c>
      <c r="J23">
        <f>SQRT(Sheet1!J23+0.5)</f>
        <v>1.3325173633048664</v>
      </c>
      <c r="K23">
        <f>SQRT(Sheet1!K23+0.5)</f>
        <v>3.0089806554806375</v>
      </c>
      <c r="L23">
        <f>SQRT(Sheet1!L23+0.5)</f>
        <v>12.160520095650229</v>
      </c>
    </row>
    <row r="24" spans="1:12" x14ac:dyDescent="0.35">
      <c r="A24" s="19" t="s">
        <v>10</v>
      </c>
      <c r="B24" s="8">
        <v>2020</v>
      </c>
      <c r="C24">
        <f>SQRT(Sheet1!C24+0.5)</f>
        <v>0.93774962315851018</v>
      </c>
      <c r="D24">
        <f>SQRT(Sheet1!D24+0.5)</f>
        <v>1.1776376799215711</v>
      </c>
      <c r="E24">
        <f>SQRT(Sheet1!E24+0.5)</f>
        <v>2.0809392561473326</v>
      </c>
      <c r="F24">
        <f>SQRT(Sheet1!F24+0.5)</f>
        <v>5.4428312472640439</v>
      </c>
      <c r="G24">
        <f>SQRT(Sheet1!G24+0.5)</f>
        <v>2.0705436909311539</v>
      </c>
      <c r="H24">
        <f>SQRT(Sheet1!H24+0.5)</f>
        <v>0.67148660750178446</v>
      </c>
      <c r="I24">
        <f>SQRT(Sheet1!I24+0.5)</f>
        <v>1.3916709515840224</v>
      </c>
      <c r="J24">
        <f>SQRT(Sheet1!J24+0.5)</f>
        <v>1.9643220689642165</v>
      </c>
      <c r="K24">
        <f>SQRT(Sheet1!K24+0.5)</f>
        <v>3.873752206580138</v>
      </c>
      <c r="L24">
        <f>SQRT(Sheet1!L24+0.5)</f>
        <v>10.526089069802646</v>
      </c>
    </row>
    <row r="25" spans="1:12" x14ac:dyDescent="0.35">
      <c r="A25" s="19" t="s">
        <v>10</v>
      </c>
      <c r="B25" s="8">
        <v>2021</v>
      </c>
      <c r="C25">
        <f>SQRT(Sheet1!C25+0.5)</f>
        <v>0.98009483757659432</v>
      </c>
      <c r="D25">
        <f>SQRT(Sheet1!D25+0.5)</f>
        <v>1.244290926473971</v>
      </c>
      <c r="E25">
        <f>SQRT(Sheet1!E25+0.5)</f>
        <v>1.7757228495079589</v>
      </c>
      <c r="F25">
        <f>SQRT(Sheet1!F25+0.5)</f>
        <v>5.4372813379187015</v>
      </c>
      <c r="G25">
        <f>SQRT(Sheet1!G25+0.5)</f>
        <v>2.6956434546840273</v>
      </c>
      <c r="H25">
        <f>SQRT(Sheet1!H25+0.5)</f>
        <v>0.66438189750482268</v>
      </c>
      <c r="I25">
        <f>SQRT(Sheet1!I25+0.5)</f>
        <v>1.9017232967270652</v>
      </c>
      <c r="J25">
        <f>SQRT(Sheet1!J25+0.5)</f>
        <v>2.7555478596130181</v>
      </c>
      <c r="K25">
        <f>SQRT(Sheet1!K25+0.5)</f>
        <v>4.295672745004163</v>
      </c>
      <c r="L25">
        <f>SQRT(Sheet1!L25+0.5)</f>
        <v>14.041423105072353</v>
      </c>
    </row>
    <row r="26" spans="1:12" x14ac:dyDescent="0.35">
      <c r="A26" s="19" t="s">
        <v>10</v>
      </c>
      <c r="B26" s="8">
        <v>2022</v>
      </c>
      <c r="C26">
        <f>SQRT(Sheet1!C26+0.5)</f>
        <v>1.0200484493289586</v>
      </c>
      <c r="D26">
        <f>SQRT(Sheet1!D26+0.5)</f>
        <v>1.1405217344894647</v>
      </c>
      <c r="E26">
        <f>SQRT(Sheet1!E26+0.5)</f>
        <v>1.6122466343067201</v>
      </c>
      <c r="F26">
        <f>SQRT(Sheet1!F26+0.5)</f>
        <v>5.4359338105805808</v>
      </c>
      <c r="G26">
        <f>SQRT(Sheet1!G26+0.5)</f>
        <v>3.3113791059313451</v>
      </c>
      <c r="H26">
        <f>SQRT(Sheet1!H26+0.5)</f>
        <v>0.69674590984820384</v>
      </c>
      <c r="I26">
        <f>SQRT(Sheet1!I26+0.5)</f>
        <v>2.4812185555406243</v>
      </c>
      <c r="J26">
        <f>SQRT(Sheet1!J26+0.5)</f>
        <v>2.9800085549172612</v>
      </c>
      <c r="K26">
        <f>SQRT(Sheet1!K26+0.5)</f>
        <v>4.7402606471158624</v>
      </c>
      <c r="L26">
        <f>SQRT(Sheet1!L26+0.5)</f>
        <v>17.450170523533199</v>
      </c>
    </row>
    <row r="27" spans="1:12" x14ac:dyDescent="0.35">
      <c r="A27" s="19" t="s">
        <v>11</v>
      </c>
      <c r="B27" s="8">
        <v>2018</v>
      </c>
      <c r="C27">
        <f>SQRT(Sheet1!C27+0.5)</f>
        <v>0.82848566155274939</v>
      </c>
      <c r="D27">
        <f>SQRT(Sheet1!D27+0.5)</f>
        <v>1.0562456219705649</v>
      </c>
      <c r="E27">
        <f>SQRT(Sheet1!E27+0.5)</f>
        <v>2.7745772861176055</v>
      </c>
      <c r="F27">
        <f>SQRT(Sheet1!F27+0.5)</f>
        <v>4.6523421441708557</v>
      </c>
      <c r="G27">
        <f>SQRT(Sheet1!G27+0.5)</f>
        <v>4.7638260202700904</v>
      </c>
      <c r="H27">
        <f>SQRT(Sheet1!H27+0.5)</f>
        <v>0.79764559704105253</v>
      </c>
      <c r="I27">
        <f>SQRT(Sheet1!I27+0.5)</f>
        <v>2.1533028877420546</v>
      </c>
      <c r="J27">
        <f>SQRT(Sheet1!J27+0.5)</f>
        <v>3.7634912716295723</v>
      </c>
      <c r="K27">
        <f>SQRT(Sheet1!K27+0.5)</f>
        <v>12.659339744978846</v>
      </c>
      <c r="L27">
        <f>SQRT(Sheet1!L27+0.5)</f>
        <v>21.674342574925404</v>
      </c>
    </row>
    <row r="28" spans="1:12" x14ac:dyDescent="0.35">
      <c r="A28" s="19" t="s">
        <v>11</v>
      </c>
      <c r="B28" s="8">
        <v>2019</v>
      </c>
      <c r="C28">
        <f>SQRT(Sheet1!C28+0.5)</f>
        <v>0.8216073087577288</v>
      </c>
      <c r="D28">
        <f>SQRT(Sheet1!D28+0.5)</f>
        <v>1.3047524058050937</v>
      </c>
      <c r="E28">
        <f>SQRT(Sheet1!E28+0.5)</f>
        <v>2.924120091911492</v>
      </c>
      <c r="F28">
        <f>SQRT(Sheet1!F28+0.5)</f>
        <v>4.6452263393430142</v>
      </c>
      <c r="G28">
        <f>SQRT(Sheet1!G28+0.5)</f>
        <v>4.7736185150366941</v>
      </c>
      <c r="H28">
        <f>SQRT(Sheet1!H28+0.5)</f>
        <v>0.66028887035901407</v>
      </c>
      <c r="I28">
        <f>SQRT(Sheet1!I28+0.5)</f>
        <v>2.0978943072032599</v>
      </c>
      <c r="J28">
        <f>SQRT(Sheet1!J28+0.5)</f>
        <v>5.2247429335318731</v>
      </c>
      <c r="K28">
        <f>SQRT(Sheet1!K28+0.5)</f>
        <v>13.413593919915442</v>
      </c>
      <c r="L28">
        <f>SQRT(Sheet1!L28+0.5)</f>
        <v>21.685879626606503</v>
      </c>
    </row>
    <row r="29" spans="1:12" x14ac:dyDescent="0.35">
      <c r="A29" s="19" t="s">
        <v>11</v>
      </c>
      <c r="B29" s="8">
        <v>2020</v>
      </c>
      <c r="C29">
        <f>SQRT(Sheet1!C29+0.5)</f>
        <v>0.83765681939785575</v>
      </c>
      <c r="D29">
        <f>SQRT(Sheet1!D29+0.5)</f>
        <v>1.7391607101276965</v>
      </c>
      <c r="E29">
        <f>SQRT(Sheet1!E29+0.5)</f>
        <v>2.8281560594855066</v>
      </c>
      <c r="F29">
        <f>SQRT(Sheet1!F29+0.5)</f>
        <v>4.6288962813215768</v>
      </c>
      <c r="G29">
        <f>SQRT(Sheet1!G29+0.5)</f>
        <v>3.2517780439007264</v>
      </c>
      <c r="H29">
        <f>SQRT(Sheet1!H29+0.5)</f>
        <v>0.59955272210395671</v>
      </c>
      <c r="I29">
        <f>SQRT(Sheet1!I29+0.5)</f>
        <v>1.5911081557087763</v>
      </c>
      <c r="J29">
        <f>SQRT(Sheet1!J29+0.5)</f>
        <v>5.0925218392785991</v>
      </c>
      <c r="K29">
        <f>SQRT(Sheet1!K29+0.5)</f>
        <v>8.7200921303554715</v>
      </c>
      <c r="L29">
        <f>SQRT(Sheet1!L29+0.5)</f>
        <v>14.536734404984715</v>
      </c>
    </row>
    <row r="30" spans="1:12" x14ac:dyDescent="0.35">
      <c r="A30" s="19" t="s">
        <v>11</v>
      </c>
      <c r="B30" s="8">
        <v>2021</v>
      </c>
      <c r="C30">
        <f>SQRT(Sheet1!C30+0.5)</f>
        <v>0.89193116704062014</v>
      </c>
      <c r="D30">
        <f>SQRT(Sheet1!D30+0.5)</f>
        <v>1.2500471979413152</v>
      </c>
      <c r="E30">
        <f>SQRT(Sheet1!E30+0.5)</f>
        <v>2.3041293112908319</v>
      </c>
      <c r="F30">
        <f>SQRT(Sheet1!F30+0.5)</f>
        <v>4.6359806918414321</v>
      </c>
      <c r="G30">
        <f>SQRT(Sheet1!G30+0.5)</f>
        <v>3.8554667102166134</v>
      </c>
      <c r="H30">
        <f>SQRT(Sheet1!H30+0.5)</f>
        <v>0.75355036879546966</v>
      </c>
      <c r="I30">
        <f>SQRT(Sheet1!I30+0.5)</f>
        <v>2.1783797142305117</v>
      </c>
      <c r="J30">
        <f>SQRT(Sheet1!J30+0.5)</f>
        <v>3.9704039478793378</v>
      </c>
      <c r="K30">
        <f>SQRT(Sheet1!K30+0.5)</f>
        <v>8.3414414441496429</v>
      </c>
      <c r="L30">
        <f>SQRT(Sheet1!L30+0.5)</f>
        <v>17.379491674536947</v>
      </c>
    </row>
    <row r="31" spans="1:12" x14ac:dyDescent="0.35">
      <c r="A31" s="19" t="s">
        <v>11</v>
      </c>
      <c r="B31" s="8">
        <v>2022</v>
      </c>
      <c r="C31">
        <f>SQRT(Sheet1!C31+0.5)</f>
        <v>0.89787134552881587</v>
      </c>
      <c r="D31">
        <f>SQRT(Sheet1!D31+0.5)</f>
        <v>1.2418719599333305</v>
      </c>
      <c r="E31">
        <f>SQRT(Sheet1!E31+0.5)</f>
        <v>2.2503126997940472</v>
      </c>
      <c r="F31">
        <f>SQRT(Sheet1!F31+0.5)</f>
        <v>4.635854058623293</v>
      </c>
      <c r="G31">
        <f>SQRT(Sheet1!G31+0.5)</f>
        <v>4.2544185255330751</v>
      </c>
      <c r="H31">
        <f>SQRT(Sheet1!H31+0.5)</f>
        <v>0.70627655117479549</v>
      </c>
      <c r="I31">
        <f>SQRT(Sheet1!I31+0.5)</f>
        <v>2.426657690594249</v>
      </c>
      <c r="J31">
        <f>SQRT(Sheet1!J31+0.5)</f>
        <v>4.3409226236620473</v>
      </c>
      <c r="K31">
        <f>SQRT(Sheet1!K31+0.5)</f>
        <v>8.9902791348031599</v>
      </c>
      <c r="L31">
        <f>SQRT(Sheet1!L31+0.5)</f>
        <v>19.233973336954996</v>
      </c>
    </row>
    <row r="32" spans="1:12" x14ac:dyDescent="0.35">
      <c r="A32" s="20" t="s">
        <v>12</v>
      </c>
      <c r="B32" s="8">
        <v>2018</v>
      </c>
      <c r="C32">
        <f>SQRT(Sheet1!C32+0.5)</f>
        <v>1.3049416312480486</v>
      </c>
      <c r="D32">
        <f>SQRT(Sheet1!D32+0.5)</f>
        <v>0.79761189994051052</v>
      </c>
      <c r="E32">
        <f>SQRT(Sheet1!E32+0.5)</f>
        <v>1.3131743443064225</v>
      </c>
      <c r="F32">
        <f>SQRT(Sheet1!F32+0.5)</f>
        <v>5.2763362432216177</v>
      </c>
      <c r="G32">
        <f>SQRT(Sheet1!G32+0.5)</f>
        <v>2.1854015958874706</v>
      </c>
      <c r="H32">
        <f>SQRT(Sheet1!H32+0.5)</f>
        <v>0.82125836335462321</v>
      </c>
      <c r="I32">
        <f>SQRT(Sheet1!I32+0.5)</f>
        <v>2.3755966836960987</v>
      </c>
      <c r="J32">
        <f>SQRT(Sheet1!J32+0.5)</f>
        <v>1.0403476608742748</v>
      </c>
      <c r="K32">
        <f>SQRT(Sheet1!K32+0.5)</f>
        <v>2.3949164754274195</v>
      </c>
      <c r="L32">
        <f>SQRT(Sheet1!L32+0.5)</f>
        <v>10.835318056095366</v>
      </c>
    </row>
    <row r="33" spans="1:12" x14ac:dyDescent="0.35">
      <c r="A33" s="20" t="s">
        <v>12</v>
      </c>
      <c r="B33" s="8">
        <v>2019</v>
      </c>
      <c r="C33">
        <f>SQRT(Sheet1!C33+0.5)</f>
        <v>1.2566155908474159</v>
      </c>
      <c r="D33">
        <f>SQRT(Sheet1!D33+0.5)</f>
        <v>0.79024631560670067</v>
      </c>
      <c r="E33">
        <f>SQRT(Sheet1!E33+0.5)</f>
        <v>1.3379333922153116</v>
      </c>
      <c r="F33">
        <f>SQRT(Sheet1!F33+0.5)</f>
        <v>5.2817012901787681</v>
      </c>
      <c r="G33">
        <f>SQRT(Sheet1!G33+0.5)</f>
        <v>2.4865607323391004</v>
      </c>
      <c r="H33">
        <f>SQRT(Sheet1!H33+0.5)</f>
        <v>0.7471809583646627</v>
      </c>
      <c r="I33">
        <f>SQRT(Sheet1!I33+0.5)</f>
        <v>2.5753466293813254</v>
      </c>
      <c r="J33">
        <f>SQRT(Sheet1!J33+0.5)</f>
        <v>1.0988495755083756</v>
      </c>
      <c r="K33">
        <f>SQRT(Sheet1!K33+0.5)</f>
        <v>2.798468052341661</v>
      </c>
      <c r="L33">
        <f>SQRT(Sheet1!L33+0.5)</f>
        <v>12.497725053003599</v>
      </c>
    </row>
    <row r="34" spans="1:12" x14ac:dyDescent="0.35">
      <c r="A34" s="20" t="s">
        <v>12</v>
      </c>
      <c r="B34" s="8">
        <v>2020</v>
      </c>
      <c r="C34">
        <f>SQRT(Sheet1!C34+0.5)</f>
        <v>1.1838900508291148</v>
      </c>
      <c r="D34">
        <f>SQRT(Sheet1!D34+0.5)</f>
        <v>0.8481198097640219</v>
      </c>
      <c r="E34">
        <f>SQRT(Sheet1!E34+0.5)</f>
        <v>1.4271305693339089</v>
      </c>
      <c r="F34">
        <f>SQRT(Sheet1!F34+0.5)</f>
        <v>5.2796458922097322</v>
      </c>
      <c r="G34">
        <f>SQRT(Sheet1!G34+0.5)</f>
        <v>2.4483758239181119</v>
      </c>
      <c r="H34">
        <f>SQRT(Sheet1!H34+0.5)</f>
        <v>0.69175584309315918</v>
      </c>
      <c r="I34">
        <f>SQRT(Sheet1!I34+0.5)</f>
        <v>2.3353494686060632</v>
      </c>
      <c r="J34">
        <f>SQRT(Sheet1!J34+0.5)</f>
        <v>1.3057538675767741</v>
      </c>
      <c r="K34">
        <f>SQRT(Sheet1!K34+0.5)</f>
        <v>2.9905643556828929</v>
      </c>
      <c r="L34">
        <f>SQRT(Sheet1!L34+0.5)</f>
        <v>12.284595343548927</v>
      </c>
    </row>
    <row r="35" spans="1:12" x14ac:dyDescent="0.35">
      <c r="A35" s="20" t="s">
        <v>12</v>
      </c>
      <c r="B35" s="8">
        <v>2021</v>
      </c>
      <c r="C35">
        <f>SQRT(Sheet1!C35+0.5)</f>
        <v>1.0681504074094352</v>
      </c>
      <c r="D35">
        <f>SQRT(Sheet1!D35+0.5)</f>
        <v>0.78123200616707322</v>
      </c>
      <c r="E35">
        <f>SQRT(Sheet1!E35+0.5)</f>
        <v>1.5143729654460136</v>
      </c>
      <c r="F35">
        <f>SQRT(Sheet1!F35+0.5)</f>
        <v>5.2927784718488011</v>
      </c>
      <c r="G35">
        <f>SQRT(Sheet1!G35+0.5)</f>
        <v>3.1632957805612452</v>
      </c>
      <c r="H35">
        <f>SQRT(Sheet1!H35+0.5)</f>
        <v>0.80557056621066525</v>
      </c>
      <c r="I35">
        <f>SQRT(Sheet1!I35+0.5)</f>
        <v>2.567704830181643</v>
      </c>
      <c r="J35">
        <f>SQRT(Sheet1!J35+0.5)</f>
        <v>1.2445012074795361</v>
      </c>
      <c r="K35">
        <f>SQRT(Sheet1!K35+0.5)</f>
        <v>4.1890501801539957</v>
      </c>
      <c r="L35">
        <f>SQRT(Sheet1!L35+0.5)</f>
        <v>16.18812774486052</v>
      </c>
    </row>
    <row r="36" spans="1:12" x14ac:dyDescent="0.35">
      <c r="A36" s="20" t="s">
        <v>12</v>
      </c>
      <c r="B36" s="8">
        <v>2022</v>
      </c>
      <c r="C36">
        <f>SQRT(Sheet1!C36+0.5)</f>
        <v>1.1176333021420362</v>
      </c>
      <c r="D36">
        <f>SQRT(Sheet1!D36+0.5)</f>
        <v>0.94794582380764292</v>
      </c>
      <c r="E36">
        <f>SQRT(Sheet1!E36+0.5)</f>
        <v>1.4593666453062852</v>
      </c>
      <c r="F36">
        <f>SQRT(Sheet1!F36+0.5)</f>
        <v>5.3069547288569279</v>
      </c>
      <c r="G36">
        <f>SQRT(Sheet1!G36+0.5)</f>
        <v>2.7830445113510667</v>
      </c>
      <c r="H36">
        <f>SQRT(Sheet1!H36+0.5)</f>
        <v>0.81372085964560414</v>
      </c>
      <c r="I36">
        <f>SQRT(Sheet1!I36+0.5)</f>
        <v>2.4346482656392192</v>
      </c>
      <c r="J36">
        <f>SQRT(Sheet1!J36+0.5)</f>
        <v>1.8406522047249581</v>
      </c>
      <c r="K36">
        <f>SQRT(Sheet1!K36+0.5)</f>
        <v>3.5082894487958187</v>
      </c>
      <c r="L36">
        <f>SQRT(Sheet1!L36+0.5)</f>
        <v>14.175095011104931</v>
      </c>
    </row>
    <row r="37" spans="1:12" x14ac:dyDescent="0.35">
      <c r="A37" s="19" t="s">
        <v>13</v>
      </c>
      <c r="B37" s="8">
        <v>2018</v>
      </c>
      <c r="C37">
        <f>SQRT(Sheet1!C37+0.5)</f>
        <v>0.83480938903198953</v>
      </c>
      <c r="D37">
        <f>SQRT(Sheet1!D37+0.5)</f>
        <v>1.0687395444771426</v>
      </c>
      <c r="E37">
        <f>SQRT(Sheet1!E37+0.5)</f>
        <v>2.369184550256231</v>
      </c>
      <c r="F37">
        <f>SQRT(Sheet1!F37+0.5)</f>
        <v>5.3185648623699109</v>
      </c>
      <c r="G37">
        <f>SQRT(Sheet1!G37+0.5)</f>
        <v>2.9027307983113193</v>
      </c>
      <c r="H37">
        <f>SQRT(Sheet1!H37+0.5)</f>
        <v>0.58256629888714795</v>
      </c>
      <c r="I37">
        <f>SQRT(Sheet1!I37+0.5)</f>
        <v>1.4354972395413099</v>
      </c>
      <c r="J37">
        <f>SQRT(Sheet1!J37+0.5)</f>
        <v>2.3643205697037808</v>
      </c>
      <c r="K37">
        <f>SQRT(Sheet1!K37+0.5)</f>
        <v>6.4050864071519804</v>
      </c>
      <c r="L37">
        <f>SQRT(Sheet1!L37+0.5)</f>
        <v>14.857204750271327</v>
      </c>
    </row>
    <row r="38" spans="1:12" x14ac:dyDescent="0.35">
      <c r="A38" s="19" t="s">
        <v>13</v>
      </c>
      <c r="B38" s="8">
        <v>2019</v>
      </c>
      <c r="C38">
        <f>SQRT(Sheet1!C38+0.5)</f>
        <v>0.85522095094168615</v>
      </c>
      <c r="D38">
        <f>SQRT(Sheet1!D38+0.5)</f>
        <v>0.88099623800330484</v>
      </c>
      <c r="E38">
        <f>SQRT(Sheet1!E38+0.5)</f>
        <v>2.3021118925697088</v>
      </c>
      <c r="F38">
        <f>SQRT(Sheet1!F38+0.5)</f>
        <v>5.3350293261021076</v>
      </c>
      <c r="G38">
        <f>SQRT(Sheet1!G38+0.5)</f>
        <v>3.9957973071550343</v>
      </c>
      <c r="H38">
        <f>SQRT(Sheet1!H38+0.5)</f>
        <v>0.8317028443416542</v>
      </c>
      <c r="I38">
        <f>SQRT(Sheet1!I38+0.5)</f>
        <v>2.0196456439032473</v>
      </c>
      <c r="J38">
        <f>SQRT(Sheet1!J38+0.5)</f>
        <v>2.1842877324047349</v>
      </c>
      <c r="K38">
        <f>SQRT(Sheet1!K38+0.5)</f>
        <v>8.6449035786466393</v>
      </c>
      <c r="L38">
        <f>SQRT(Sheet1!L38+0.5)</f>
        <v>20.808163970869337</v>
      </c>
    </row>
    <row r="39" spans="1:12" x14ac:dyDescent="0.35">
      <c r="A39" s="19" t="s">
        <v>13</v>
      </c>
      <c r="B39" s="8">
        <v>2020</v>
      </c>
      <c r="C39">
        <f>SQRT(Sheet1!C39+0.5)</f>
        <v>0.86179275738548222</v>
      </c>
      <c r="D39">
        <f>SQRT(Sheet1!D39+0.5)</f>
        <v>0.9095383761544934</v>
      </c>
      <c r="E39">
        <f>SQRT(Sheet1!E39+0.5)</f>
        <v>2.2721623843979661</v>
      </c>
      <c r="F39">
        <f>SQRT(Sheet1!F39+0.5)</f>
        <v>5.3460243085000316</v>
      </c>
      <c r="G39">
        <f>SQRT(Sheet1!G39+0.5)</f>
        <v>3.479224934270734</v>
      </c>
      <c r="H39">
        <f>SQRT(Sheet1!H39+0.5)</f>
        <v>0.7903239197552111</v>
      </c>
      <c r="I39">
        <f>SQRT(Sheet1!I39+0.5)</f>
        <v>1.821093435873393</v>
      </c>
      <c r="J39">
        <f>SQRT(Sheet1!J39+0.5)</f>
        <v>2.0731268605715276</v>
      </c>
      <c r="K39">
        <f>SQRT(Sheet1!K39+0.5)</f>
        <v>7.389919912030483</v>
      </c>
      <c r="L39">
        <f>SQRT(Sheet1!L39+0.5)</f>
        <v>18.06566613507319</v>
      </c>
    </row>
    <row r="40" spans="1:12" x14ac:dyDescent="0.35">
      <c r="A40" s="19" t="s">
        <v>13</v>
      </c>
      <c r="B40" s="8">
        <v>2021</v>
      </c>
      <c r="C40">
        <f>SQRT(Sheet1!C40+0.5)</f>
        <v>0.85056418447751636</v>
      </c>
      <c r="D40">
        <f>SQRT(Sheet1!D40+0.5)</f>
        <v>0.90447104702059322</v>
      </c>
      <c r="E40">
        <f>SQRT(Sheet1!E40+0.5)</f>
        <v>2.3015454024697335</v>
      </c>
      <c r="F40">
        <f>SQRT(Sheet1!F40+0.5)</f>
        <v>5.3535139152966762</v>
      </c>
      <c r="G40">
        <f>SQRT(Sheet1!G40+0.5)</f>
        <v>3.3942420450876889</v>
      </c>
      <c r="H40">
        <f>SQRT(Sheet1!H40+0.5)</f>
        <v>0.7638283075315665</v>
      </c>
      <c r="I40">
        <f>SQRT(Sheet1!I40+0.5)</f>
        <v>1.7212551740240942</v>
      </c>
      <c r="J40">
        <f>SQRT(Sheet1!J40+0.5)</f>
        <v>2.0013464423561924</v>
      </c>
      <c r="K40">
        <f>SQRT(Sheet1!K40+0.5)</f>
        <v>7.3053667130678219</v>
      </c>
      <c r="L40">
        <f>SQRT(Sheet1!L40+0.5)</f>
        <v>17.63091547039722</v>
      </c>
    </row>
    <row r="41" spans="1:12" x14ac:dyDescent="0.35">
      <c r="A41" s="19" t="s">
        <v>13</v>
      </c>
      <c r="B41" s="8">
        <v>2022</v>
      </c>
      <c r="C41">
        <f>SQRT(Sheet1!C41+0.5)</f>
        <v>0.78009095030684894</v>
      </c>
      <c r="D41">
        <f>SQRT(Sheet1!D41+0.5)</f>
        <v>0.87726346564992752</v>
      </c>
      <c r="E41">
        <f>SQRT(Sheet1!E41+0.5)</f>
        <v>3.2332911100562658</v>
      </c>
      <c r="F41">
        <f>SQRT(Sheet1!F41+0.5)</f>
        <v>5.3546567811786563</v>
      </c>
      <c r="G41">
        <f>SQRT(Sheet1!G41+0.5)</f>
        <v>3.6530053747726443</v>
      </c>
      <c r="H41">
        <f>SQRT(Sheet1!H41+0.5)</f>
        <v>0.7157605701075781</v>
      </c>
      <c r="I41">
        <f>SQRT(Sheet1!I41+0.5)</f>
        <v>1.3762851087875383</v>
      </c>
      <c r="J41">
        <f>SQRT(Sheet1!J41+0.5)</f>
        <v>1.9906657353545014</v>
      </c>
      <c r="K41">
        <f>SQRT(Sheet1!K41+0.5)</f>
        <v>11.329423623013881</v>
      </c>
      <c r="L41">
        <f>SQRT(Sheet1!L41+0.5)</f>
        <v>19.035710715882534</v>
      </c>
    </row>
    <row r="42" spans="1:12" x14ac:dyDescent="0.35">
      <c r="A42" s="19" t="s">
        <v>14</v>
      </c>
      <c r="B42" s="8">
        <v>2018</v>
      </c>
      <c r="C42">
        <f>SQRT(Sheet1!C42+0.5)</f>
        <v>1.5054661276826606</v>
      </c>
      <c r="D42">
        <f>SQRT(Sheet1!D42+0.5)</f>
        <v>0.92552117992783745</v>
      </c>
      <c r="E42">
        <f>SQRT(Sheet1!E42+0.5)</f>
        <v>1.2260327773794955</v>
      </c>
      <c r="F42">
        <f>SQRT(Sheet1!F42+0.5)</f>
        <v>3.9417279395285947</v>
      </c>
      <c r="G42">
        <f>SQRT(Sheet1!G42+0.5)</f>
        <v>1.4097498223843523</v>
      </c>
      <c r="H42">
        <f>SQRT(Sheet1!H42+0.5)</f>
        <v>0.80888096315206059</v>
      </c>
      <c r="I42">
        <f>SQRT(Sheet1!I42+0.5)</f>
        <v>1.7684388001735376</v>
      </c>
      <c r="J42">
        <f>SQRT(Sheet1!J42+0.5)</f>
        <v>1.015080891052526</v>
      </c>
      <c r="K42">
        <f>SQRT(Sheet1!K42+0.5)</f>
        <v>1.4114139474596197</v>
      </c>
      <c r="L42">
        <f>SQRT(Sheet1!L42+0.5)</f>
        <v>4.7818697165326549</v>
      </c>
    </row>
    <row r="43" spans="1:12" x14ac:dyDescent="0.35">
      <c r="A43" s="19" t="s">
        <v>14</v>
      </c>
      <c r="B43" s="8">
        <v>2019</v>
      </c>
      <c r="C43">
        <f>SQRT(Sheet1!C43+0.5)</f>
        <v>1.3542051034313669</v>
      </c>
      <c r="D43">
        <f>SQRT(Sheet1!D43+0.5)</f>
        <v>0.92269663596436846</v>
      </c>
      <c r="E43">
        <f>SQRT(Sheet1!E43+0.5)</f>
        <v>1.2273794638713371</v>
      </c>
      <c r="F43">
        <f>SQRT(Sheet1!F43+0.5)</f>
        <v>3.9260724874802686</v>
      </c>
      <c r="G43">
        <f>SQRT(Sheet1!G43+0.5)</f>
        <v>1.6230215924203273</v>
      </c>
      <c r="H43">
        <f>SQRT(Sheet1!H43+0.5)</f>
        <v>0.61976595465466167</v>
      </c>
      <c r="I43">
        <f>SQRT(Sheet1!I43+0.5)</f>
        <v>1.829411725118514</v>
      </c>
      <c r="J43">
        <f>SQRT(Sheet1!J43+0.5)</f>
        <v>1.1179854985250561</v>
      </c>
      <c r="K43">
        <f>SQRT(Sheet1!K43+0.5)</f>
        <v>1.6272635800609281</v>
      </c>
      <c r="L43">
        <f>SQRT(Sheet1!L43+0.5)</f>
        <v>5.6859072835256415</v>
      </c>
    </row>
    <row r="44" spans="1:12" x14ac:dyDescent="0.35">
      <c r="A44" s="19" t="s">
        <v>14</v>
      </c>
      <c r="B44" s="8">
        <v>2020</v>
      </c>
      <c r="C44">
        <f>SQRT(Sheet1!C44+0.5)</f>
        <v>1.3194854695234841</v>
      </c>
      <c r="D44">
        <f>SQRT(Sheet1!D44+0.5)</f>
        <v>0.94991423535824582</v>
      </c>
      <c r="E44">
        <f>SQRT(Sheet1!E44+0.5)</f>
        <v>1.2821129830028624</v>
      </c>
      <c r="F44">
        <f>SQRT(Sheet1!F44+0.5)</f>
        <v>3.9245019033023008</v>
      </c>
      <c r="G44">
        <f>SQRT(Sheet1!G44+0.5)</f>
        <v>1.6626349858048775</v>
      </c>
      <c r="H44">
        <f>SQRT(Sheet1!H44+0.5)</f>
        <v>0.69838794012868799</v>
      </c>
      <c r="I44">
        <f>SQRT(Sheet1!I44+0.5)</f>
        <v>1.8193843904853961</v>
      </c>
      <c r="J44">
        <f>SQRT(Sheet1!J44+0.5)</f>
        <v>1.1878695045154468</v>
      </c>
      <c r="K44">
        <f>SQRT(Sheet1!K44+0.5)</f>
        <v>1.7578396921156785</v>
      </c>
      <c r="L44">
        <f>SQRT(Sheet1!L44+0.5)</f>
        <v>5.851732626132133</v>
      </c>
    </row>
    <row r="45" spans="1:12" x14ac:dyDescent="0.35">
      <c r="A45" s="19" t="s">
        <v>14</v>
      </c>
      <c r="B45" s="8">
        <v>2021</v>
      </c>
      <c r="C45">
        <f>SQRT(Sheet1!C45+0.5)</f>
        <v>1.2872326843445379</v>
      </c>
      <c r="D45">
        <f>SQRT(Sheet1!D45+0.5)</f>
        <v>0.89123461546405292</v>
      </c>
      <c r="E45">
        <f>SQRT(Sheet1!E45+0.5)</f>
        <v>1.2909864633148582</v>
      </c>
      <c r="F45">
        <f>SQRT(Sheet1!F45+0.5)</f>
        <v>3.9257941388719244</v>
      </c>
      <c r="G45">
        <f>SQRT(Sheet1!G45+0.5)</f>
        <v>1.8879514908281521</v>
      </c>
      <c r="H45">
        <f>SQRT(Sheet1!H45+0.5)</f>
        <v>0.71428009979352214</v>
      </c>
      <c r="I45">
        <f>SQRT(Sheet1!I45+0.5)</f>
        <v>2.0113098648978998</v>
      </c>
      <c r="J45">
        <f>SQRT(Sheet1!J45+0.5)</f>
        <v>1.1839927182277104</v>
      </c>
      <c r="K45">
        <f>SQRT(Sheet1!K45+0.5)</f>
        <v>2.0186689811330583</v>
      </c>
      <c r="L45">
        <f>SQRT(Sheet1!L45+0.5)</f>
        <v>6.7967138052218825</v>
      </c>
    </row>
    <row r="46" spans="1:12" x14ac:dyDescent="0.35">
      <c r="A46" s="19" t="s">
        <v>14</v>
      </c>
      <c r="B46" s="8">
        <v>2022</v>
      </c>
      <c r="C46">
        <f>SQRT(Sheet1!C46+0.5)</f>
        <v>1.3023985695404459</v>
      </c>
      <c r="D46">
        <f>SQRT(Sheet1!D46+0.5)</f>
        <v>0.94166897061704358</v>
      </c>
      <c r="E46">
        <f>SQRT(Sheet1!E46+0.5)</f>
        <v>1.3526719714683058</v>
      </c>
      <c r="F46">
        <f>SQRT(Sheet1!F46+0.5)</f>
        <v>3.9332420746924894</v>
      </c>
      <c r="G46">
        <f>SQRT(Sheet1!G46+0.5)</f>
        <v>1.8526810404123786</v>
      </c>
      <c r="H46">
        <f>SQRT(Sheet1!H46+0.5)</f>
        <v>0.74851894277552722</v>
      </c>
      <c r="I46">
        <f>SQRT(Sheet1!I46+0.5)</f>
        <v>2.001972148589175</v>
      </c>
      <c r="J46">
        <f>SQRT(Sheet1!J46+0.5)</f>
        <v>1.2783145750284197</v>
      </c>
      <c r="K46">
        <f>SQRT(Sheet1!K46+0.5)</f>
        <v>2.0974534961897433</v>
      </c>
      <c r="L46">
        <f>SQRT(Sheet1!L46+0.5)</f>
        <v>6.663301421585782</v>
      </c>
    </row>
    <row r="47" spans="1:12" x14ac:dyDescent="0.35">
      <c r="A47" s="20" t="s">
        <v>15</v>
      </c>
      <c r="B47" s="8">
        <v>2018</v>
      </c>
      <c r="C47">
        <f>SQRT(Sheet1!C47+0.5)</f>
        <v>0.92057665033566327</v>
      </c>
      <c r="D47">
        <f>SQRT(Sheet1!D47+0.5)</f>
        <v>0.8108254806369084</v>
      </c>
      <c r="E47">
        <f>SQRT(Sheet1!E47+0.5)</f>
        <v>1.7828056901639024</v>
      </c>
      <c r="F47">
        <f>SQRT(Sheet1!F47+0.5)</f>
        <v>5.2777898241533538</v>
      </c>
      <c r="G47">
        <f>SQRT(Sheet1!G47+0.5)</f>
        <v>3.5193493817782682</v>
      </c>
      <c r="H47">
        <f>SQRT(Sheet1!H47+0.5)</f>
        <v>0.902907403213007</v>
      </c>
      <c r="I47">
        <f>SQRT(Sheet1!I47+0.5)</f>
        <v>2.1517117175095186</v>
      </c>
      <c r="J47">
        <f>SQRT(Sheet1!J47+0.5)</f>
        <v>1.5398958619023861</v>
      </c>
      <c r="K47">
        <f>SQRT(Sheet1!K47+0.5)</f>
        <v>5.6863814914936723</v>
      </c>
      <c r="L47">
        <f>SQRT(Sheet1!L47+0.5)</f>
        <v>18.045425617244927</v>
      </c>
    </row>
    <row r="48" spans="1:12" x14ac:dyDescent="0.35">
      <c r="A48" s="20" t="s">
        <v>15</v>
      </c>
      <c r="B48" s="8">
        <v>2019</v>
      </c>
      <c r="C48">
        <f>SQRT(Sheet1!C48+0.5)</f>
        <v>0.90709236139859206</v>
      </c>
      <c r="D48">
        <f>SQRT(Sheet1!D48+0.5)</f>
        <v>0.86719434065546552</v>
      </c>
      <c r="E48">
        <f>SQRT(Sheet1!E48+0.5)</f>
        <v>1.8670553170347997</v>
      </c>
      <c r="F48">
        <f>SQRT(Sheet1!F48+0.5)</f>
        <v>5.2883781414128039</v>
      </c>
      <c r="G48">
        <f>SQRT(Sheet1!G48+0.5)</f>
        <v>3.5667573960260253</v>
      </c>
      <c r="H48">
        <f>SQRT(Sheet1!H48+0.5)</f>
        <v>0.78636908749752865</v>
      </c>
      <c r="I48">
        <f>SQRT(Sheet1!I48+0.5)</f>
        <v>2.1084083765332666</v>
      </c>
      <c r="J48">
        <f>SQRT(Sheet1!J48+0.5)</f>
        <v>1.8921419507771804</v>
      </c>
      <c r="K48">
        <f>SQRT(Sheet1!K48+0.5)</f>
        <v>6.0821783820511905</v>
      </c>
      <c r="L48">
        <f>SQRT(Sheet1!L48+0.5)</f>
        <v>18.335603171786694</v>
      </c>
    </row>
    <row r="49" spans="1:12" x14ac:dyDescent="0.35">
      <c r="A49" s="20" t="s">
        <v>15</v>
      </c>
      <c r="B49" s="8">
        <v>2020</v>
      </c>
      <c r="C49">
        <f>SQRT(Sheet1!C49+0.5)</f>
        <v>0.93210318524736602</v>
      </c>
      <c r="D49">
        <f>SQRT(Sheet1!D49+0.5)</f>
        <v>1.1192895528928852</v>
      </c>
      <c r="E49">
        <f>SQRT(Sheet1!E49+0.5)</f>
        <v>1.6565025931921435</v>
      </c>
      <c r="F49">
        <f>SQRT(Sheet1!F49+0.5)</f>
        <v>5.2946505764755551</v>
      </c>
      <c r="G49">
        <f>SQRT(Sheet1!G49+0.5)</f>
        <v>2.1666154470057042</v>
      </c>
      <c r="H49">
        <f>SQRT(Sheet1!H49+0.5)</f>
        <v>0.75407836079773205</v>
      </c>
      <c r="I49">
        <f>SQRT(Sheet1!I49+0.5)</f>
        <v>1.4306983690364592</v>
      </c>
      <c r="J49">
        <f>SQRT(Sheet1!J49+0.5)</f>
        <v>1.9124457836234594</v>
      </c>
      <c r="K49">
        <f>SQRT(Sheet1!K49+0.5)</f>
        <v>3.1483072924408866</v>
      </c>
      <c r="L49">
        <f>SQRT(Sheet1!L49+0.5)</f>
        <v>10.769442415353678</v>
      </c>
    </row>
    <row r="50" spans="1:12" x14ac:dyDescent="0.35">
      <c r="A50" s="20" t="s">
        <v>15</v>
      </c>
      <c r="B50" s="8">
        <v>2021</v>
      </c>
      <c r="C50">
        <f>SQRT(Sheet1!C50+0.5)</f>
        <v>0.98226499044828852</v>
      </c>
      <c r="D50">
        <f>SQRT(Sheet1!D50+0.5)</f>
        <v>1.147630015987342</v>
      </c>
      <c r="E50">
        <f>SQRT(Sheet1!E50+0.5)</f>
        <v>1.450111270759963</v>
      </c>
      <c r="F50">
        <f>SQRT(Sheet1!F50+0.5)</f>
        <v>5.3026886309519226</v>
      </c>
      <c r="G50">
        <f>SQRT(Sheet1!G50+0.5)</f>
        <v>1.3036043349457522</v>
      </c>
      <c r="H50">
        <f>SQRT(Sheet1!H50+0.5)</f>
        <v>0.76740811840158618</v>
      </c>
      <c r="I50">
        <f>SQRT(Sheet1!I50+0.5)</f>
        <v>1.0283614108688595</v>
      </c>
      <c r="J50">
        <f>SQRT(Sheet1!J50+0.5)</f>
        <v>1.2165370905931485</v>
      </c>
      <c r="K50">
        <f>SQRT(Sheet1!K50+0.5)</f>
        <v>1.5564062189554331</v>
      </c>
      <c r="L50">
        <f>SQRT(Sheet1!L50+0.5)</f>
        <v>5.7987241957667912</v>
      </c>
    </row>
    <row r="51" spans="1:12" x14ac:dyDescent="0.35">
      <c r="A51" s="20" t="s">
        <v>15</v>
      </c>
      <c r="B51" s="8">
        <v>2022</v>
      </c>
      <c r="C51">
        <f>SQRT(Sheet1!C51+0.5)</f>
        <v>0.84463849191769091</v>
      </c>
      <c r="D51">
        <f>SQRT(Sheet1!D51+0.5)</f>
        <v>10.361029005469558</v>
      </c>
      <c r="E51">
        <f>SQRT(Sheet1!E51+0.5)</f>
        <v>1.9414142120829743</v>
      </c>
      <c r="F51">
        <f>SQRT(Sheet1!F51+0.5)</f>
        <v>5.2841534757011637</v>
      </c>
      <c r="G51">
        <f>SQRT(Sheet1!G51+0.5)</f>
        <v>0.71495432932295444</v>
      </c>
      <c r="H51">
        <f>SQRT(Sheet1!H51+0.5)</f>
        <v>0.56729552348973089</v>
      </c>
      <c r="I51">
        <f>SQRT(Sheet1!I51+0.5)</f>
        <v>0.70878885202650688</v>
      </c>
      <c r="J51">
        <f>SQRT(Sheet1!J51+0.5)</f>
        <v>1.3009317771327045</v>
      </c>
      <c r="K51">
        <f>SQRT(Sheet1!K51+0.5)</f>
        <v>0.73244933700686854</v>
      </c>
      <c r="L51">
        <f>SQRT(Sheet1!L51+0.5)</f>
        <v>0.89778850728857662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X1</vt:lpstr>
      <vt:lpstr>X2</vt:lpstr>
      <vt:lpstr>X3</vt:lpstr>
      <vt:lpstr>X4</vt:lpstr>
      <vt:lpstr>Variabel Y</vt:lpstr>
      <vt:lpstr>Moderasi</vt:lpstr>
      <vt:lpstr>Sheet1</vt:lpstr>
      <vt:lpstr>Normalized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2023-06-05T14:42:37Z</dcterms:created>
  <dcterms:modified xsi:type="dcterms:W3CDTF">2023-07-11T10:07:46Z</dcterms:modified>
</cp:coreProperties>
</file>